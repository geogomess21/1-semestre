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sambrogiodobrasil-my.sharepoint.com/personal/leonardo_souza_msadobrasil_com_br/Documents/Documentos/"/>
    </mc:Choice>
  </mc:AlternateContent>
  <xr:revisionPtr revIDLastSave="1627" documentId="13_ncr:1_{30D060BC-FCA3-4F99-AC27-10CC0F6CACA9}" xr6:coauthVersionLast="47" xr6:coauthVersionMax="47" xr10:uidLastSave="{AC159603-80FA-4C02-991A-32D16E965D39}"/>
  <bookViews>
    <workbookView xWindow="-120" yWindow="-120" windowWidth="20730" windowHeight="11160" firstSheet="3" activeTab="4" xr2:uid="{9B679C4D-565E-4B88-9E90-0945FD7B95D1}"/>
  </bookViews>
  <sheets>
    <sheet name="Demanda" sheetId="1" r:id="rId1"/>
    <sheet name="Gerenciamento Geral" sheetId="2" r:id="rId2"/>
    <sheet name="Custos Armazem GERAL" sheetId="7" state="hidden" r:id="rId3"/>
    <sheet name="Custos de processo Sul_Sudeste" sheetId="8" r:id="rId4"/>
    <sheet name="Custos de processo Nordeste" sheetId="14" r:id="rId5"/>
    <sheet name="dados" sheetId="3" r:id="rId6"/>
    <sheet name="Custos Iphone" sheetId="9" r:id="rId7"/>
    <sheet name="Custos S24" sheetId="10" r:id="rId8"/>
    <sheet name="Custos A54" sheetId="11" r:id="rId9"/>
    <sheet name="Custos A34" sheetId="12" r:id="rId10"/>
    <sheet name="Dados finais professor" sheetId="6" r:id="rId11"/>
    <sheet name="Previsão de Vendas" sheetId="4" r:id="rId12"/>
    <sheet name="Dados do E-commerce" sheetId="5" state="hidden" r:id="rId13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14" l="1"/>
  <c r="X5" i="14"/>
  <c r="X6" i="14"/>
  <c r="X7" i="14"/>
  <c r="X8" i="14"/>
  <c r="X9" i="14"/>
  <c r="X10" i="14"/>
  <c r="X11" i="14"/>
  <c r="X12" i="14"/>
  <c r="X13" i="14"/>
  <c r="X3" i="14"/>
  <c r="W3" i="14"/>
  <c r="X2" i="14"/>
  <c r="T2" i="8"/>
  <c r="T3" i="8"/>
  <c r="T8" i="14"/>
  <c r="T7" i="14"/>
  <c r="T6" i="14"/>
  <c r="T5" i="14"/>
  <c r="T4" i="14"/>
  <c r="T3" i="14"/>
  <c r="T2" i="14"/>
  <c r="S4" i="14"/>
  <c r="S3" i="14"/>
  <c r="S2" i="14"/>
  <c r="P3" i="14"/>
  <c r="P4" i="14"/>
  <c r="P5" i="14"/>
  <c r="S5" i="14" s="1"/>
  <c r="P6" i="14"/>
  <c r="P7" i="14"/>
  <c r="P8" i="14"/>
  <c r="P9" i="14"/>
  <c r="P10" i="14"/>
  <c r="S11" i="14" s="1"/>
  <c r="P11" i="14"/>
  <c r="P12" i="14"/>
  <c r="P13" i="14"/>
  <c r="P2" i="14"/>
  <c r="S8" i="14"/>
  <c r="S9" i="14"/>
  <c r="S12" i="14"/>
  <c r="S13" i="14"/>
  <c r="U2" i="14"/>
  <c r="O4" i="14"/>
  <c r="O5" i="14" s="1"/>
  <c r="O6" i="14" s="1"/>
  <c r="O7" i="14" s="1"/>
  <c r="O8" i="14" s="1"/>
  <c r="O9" i="14" s="1"/>
  <c r="O10" i="14" s="1"/>
  <c r="O11" i="14" s="1"/>
  <c r="O12" i="14" s="1"/>
  <c r="O13" i="14" s="1"/>
  <c r="O3" i="14"/>
  <c r="O2" i="14"/>
  <c r="L4" i="14"/>
  <c r="L5" i="14"/>
  <c r="L6" i="14"/>
  <c r="L7" i="14"/>
  <c r="L8" i="14"/>
  <c r="L9" i="14"/>
  <c r="L10" i="14"/>
  <c r="L11" i="14"/>
  <c r="L12" i="14"/>
  <c r="L13" i="14"/>
  <c r="L2" i="14"/>
  <c r="L3" i="14"/>
  <c r="I12" i="14"/>
  <c r="I13" i="14"/>
  <c r="I11" i="14"/>
  <c r="I10" i="14"/>
  <c r="I9" i="14"/>
  <c r="I8" i="14"/>
  <c r="I7" i="14"/>
  <c r="I6" i="14"/>
  <c r="I5" i="14"/>
  <c r="I4" i="14"/>
  <c r="I3" i="14"/>
  <c r="I2" i="14"/>
  <c r="G5" i="14"/>
  <c r="G4" i="14"/>
  <c r="G3" i="14"/>
  <c r="G2" i="14"/>
  <c r="D5" i="14"/>
  <c r="D6" i="14"/>
  <c r="D7" i="14"/>
  <c r="D8" i="14"/>
  <c r="D9" i="14"/>
  <c r="D10" i="14"/>
  <c r="D11" i="14"/>
  <c r="D12" i="14"/>
  <c r="D13" i="14"/>
  <c r="D4" i="14"/>
  <c r="D3" i="14"/>
  <c r="D2" i="14"/>
  <c r="C3" i="14"/>
  <c r="C4" i="14"/>
  <c r="C5" i="14"/>
  <c r="C6" i="14"/>
  <c r="C7" i="14"/>
  <c r="C8" i="14"/>
  <c r="C9" i="14"/>
  <c r="C10" i="14"/>
  <c r="C11" i="14"/>
  <c r="C12" i="14"/>
  <c r="C13" i="14"/>
  <c r="C2" i="14"/>
  <c r="K2" i="3"/>
  <c r="I2" i="3"/>
  <c r="J2" i="3"/>
  <c r="L2" i="3"/>
  <c r="L3" i="3"/>
  <c r="L4" i="3"/>
  <c r="L5" i="3"/>
  <c r="J5" i="3"/>
  <c r="J4" i="3"/>
  <c r="J3" i="3"/>
  <c r="K4" i="3"/>
  <c r="K3" i="3"/>
  <c r="K5" i="3"/>
  <c r="L19" i="6"/>
  <c r="K19" i="6"/>
  <c r="T13" i="14"/>
  <c r="G13" i="14"/>
  <c r="T12" i="14"/>
  <c r="G12" i="14"/>
  <c r="T11" i="14"/>
  <c r="G11" i="14"/>
  <c r="G10" i="14"/>
  <c r="T9" i="14"/>
  <c r="G9" i="14"/>
  <c r="G8" i="14"/>
  <c r="G7" i="14"/>
  <c r="G6" i="14"/>
  <c r="U5" i="14"/>
  <c r="AA3" i="14"/>
  <c r="AA2" i="14"/>
  <c r="W2" i="14"/>
  <c r="I14" i="14"/>
  <c r="I5" i="3"/>
  <c r="D3" i="12"/>
  <c r="E3" i="12"/>
  <c r="D4" i="12"/>
  <c r="E4" i="12"/>
  <c r="D5" i="12"/>
  <c r="E5" i="12"/>
  <c r="D6" i="12"/>
  <c r="E6" i="12"/>
  <c r="D7" i="12"/>
  <c r="E7" i="12"/>
  <c r="D8" i="12"/>
  <c r="E8" i="12"/>
  <c r="D9" i="12"/>
  <c r="E9" i="12"/>
  <c r="D10" i="12"/>
  <c r="E10" i="12"/>
  <c r="D11" i="12"/>
  <c r="E11" i="12"/>
  <c r="D12" i="12"/>
  <c r="E12" i="12"/>
  <c r="D13" i="12"/>
  <c r="E13" i="12"/>
  <c r="D2" i="12"/>
  <c r="E2" i="12"/>
  <c r="C3" i="12"/>
  <c r="C4" i="12"/>
  <c r="C5" i="12"/>
  <c r="C6" i="12"/>
  <c r="C7" i="12"/>
  <c r="C8" i="12"/>
  <c r="H8" i="12" s="1"/>
  <c r="C9" i="12"/>
  <c r="H9" i="12" s="1"/>
  <c r="C10" i="12"/>
  <c r="C11" i="12"/>
  <c r="C12" i="12"/>
  <c r="C13" i="12"/>
  <c r="C2" i="12"/>
  <c r="AB13" i="12"/>
  <c r="U13" i="12"/>
  <c r="T13" i="12"/>
  <c r="M13" i="12"/>
  <c r="J13" i="12"/>
  <c r="H13" i="12"/>
  <c r="AB12" i="12"/>
  <c r="U12" i="12"/>
  <c r="V13" i="12" s="1"/>
  <c r="T12" i="12"/>
  <c r="M12" i="12"/>
  <c r="J12" i="12"/>
  <c r="H12" i="12"/>
  <c r="AB11" i="12"/>
  <c r="U11" i="12"/>
  <c r="V11" i="12" s="1"/>
  <c r="T11" i="12"/>
  <c r="M11" i="12"/>
  <c r="J11" i="12"/>
  <c r="AB10" i="12"/>
  <c r="V10" i="12"/>
  <c r="U10" i="12"/>
  <c r="T10" i="12"/>
  <c r="M10" i="12"/>
  <c r="J10" i="12"/>
  <c r="AB9" i="12"/>
  <c r="U9" i="12"/>
  <c r="T9" i="12"/>
  <c r="M9" i="12"/>
  <c r="J9" i="12"/>
  <c r="AB8" i="12"/>
  <c r="U8" i="12"/>
  <c r="V9" i="12" s="1"/>
  <c r="T8" i="12"/>
  <c r="M8" i="12"/>
  <c r="J8" i="12"/>
  <c r="AB7" i="12"/>
  <c r="U7" i="12"/>
  <c r="V7" i="12" s="1"/>
  <c r="T7" i="12"/>
  <c r="M7" i="12"/>
  <c r="J7" i="12"/>
  <c r="AB6" i="12"/>
  <c r="V6" i="12"/>
  <c r="U6" i="12"/>
  <c r="T6" i="12"/>
  <c r="M6" i="12"/>
  <c r="J6" i="12"/>
  <c r="AB5" i="12"/>
  <c r="U5" i="12"/>
  <c r="T5" i="12"/>
  <c r="M5" i="12"/>
  <c r="J5" i="12"/>
  <c r="AB4" i="12"/>
  <c r="U4" i="12"/>
  <c r="V5" i="12" s="1"/>
  <c r="T4" i="12"/>
  <c r="T14" i="12" s="1"/>
  <c r="M4" i="12"/>
  <c r="M14" i="12" s="1"/>
  <c r="J4" i="12"/>
  <c r="H4" i="12"/>
  <c r="AB3" i="12"/>
  <c r="U3" i="12"/>
  <c r="V3" i="12" s="1"/>
  <c r="T3" i="12"/>
  <c r="P3" i="12"/>
  <c r="P4" i="12" s="1"/>
  <c r="M3" i="12"/>
  <c r="J3" i="12"/>
  <c r="AB2" i="12"/>
  <c r="AB14" i="12" s="1"/>
  <c r="X2" i="12"/>
  <c r="X3" i="12" s="1"/>
  <c r="V2" i="12"/>
  <c r="U2" i="12"/>
  <c r="T2" i="12"/>
  <c r="R2" i="12"/>
  <c r="S2" i="12" s="1"/>
  <c r="P2" i="12"/>
  <c r="M2" i="12"/>
  <c r="J2" i="12"/>
  <c r="J14" i="12" s="1"/>
  <c r="F10" i="11"/>
  <c r="I4" i="3"/>
  <c r="E4" i="11" s="1"/>
  <c r="X2" i="11"/>
  <c r="X3" i="11" s="1"/>
  <c r="X4" i="11" s="1"/>
  <c r="X5" i="11" s="1"/>
  <c r="X6" i="11" s="1"/>
  <c r="X7" i="11" s="1"/>
  <c r="X8" i="11" s="1"/>
  <c r="X9" i="11" s="1"/>
  <c r="X10" i="11" s="1"/>
  <c r="X11" i="11" s="1"/>
  <c r="X12" i="11" s="1"/>
  <c r="X13" i="11" s="1"/>
  <c r="J3" i="11"/>
  <c r="J2" i="11"/>
  <c r="J14" i="11" s="1"/>
  <c r="J6" i="11"/>
  <c r="J4" i="11"/>
  <c r="H3" i="11"/>
  <c r="H2" i="11"/>
  <c r="E3" i="11"/>
  <c r="E6" i="11"/>
  <c r="E7" i="11"/>
  <c r="E10" i="11"/>
  <c r="E11" i="11"/>
  <c r="E2" i="11"/>
  <c r="D3" i="11"/>
  <c r="D4" i="11"/>
  <c r="D5" i="11"/>
  <c r="D6" i="11"/>
  <c r="D7" i="11"/>
  <c r="D8" i="11"/>
  <c r="D9" i="11"/>
  <c r="D10" i="11"/>
  <c r="D11" i="11"/>
  <c r="D12" i="11"/>
  <c r="D13" i="11"/>
  <c r="D2" i="11"/>
  <c r="C3" i="11"/>
  <c r="C4" i="11"/>
  <c r="C5" i="11"/>
  <c r="C6" i="11"/>
  <c r="C7" i="11"/>
  <c r="C8" i="11"/>
  <c r="C9" i="11"/>
  <c r="C10" i="11"/>
  <c r="C11" i="11"/>
  <c r="C12" i="11"/>
  <c r="C13" i="11"/>
  <c r="C2" i="11"/>
  <c r="AB13" i="11"/>
  <c r="U13" i="11"/>
  <c r="V13" i="11" s="1"/>
  <c r="T13" i="11"/>
  <c r="M13" i="11"/>
  <c r="J13" i="11"/>
  <c r="H13" i="11"/>
  <c r="AB12" i="11"/>
  <c r="U12" i="11"/>
  <c r="T12" i="11"/>
  <c r="M12" i="11"/>
  <c r="J12" i="11"/>
  <c r="AB11" i="11"/>
  <c r="U11" i="11"/>
  <c r="T11" i="11"/>
  <c r="M11" i="11"/>
  <c r="J11" i="11"/>
  <c r="AB10" i="11"/>
  <c r="V10" i="11"/>
  <c r="U10" i="11"/>
  <c r="T10" i="11"/>
  <c r="M10" i="11"/>
  <c r="J10" i="11"/>
  <c r="AB9" i="11"/>
  <c r="U9" i="11"/>
  <c r="T9" i="11"/>
  <c r="M9" i="11"/>
  <c r="J9" i="11"/>
  <c r="H9" i="11"/>
  <c r="AB8" i="11"/>
  <c r="U8" i="11"/>
  <c r="V8" i="11" s="1"/>
  <c r="T8" i="11"/>
  <c r="M8" i="11"/>
  <c r="J8" i="11"/>
  <c r="AB7" i="11"/>
  <c r="U7" i="11"/>
  <c r="T7" i="11"/>
  <c r="M7" i="11"/>
  <c r="J7" i="11"/>
  <c r="AB6" i="11"/>
  <c r="U6" i="11"/>
  <c r="T6" i="11"/>
  <c r="M6" i="11"/>
  <c r="AB5" i="11"/>
  <c r="U5" i="11"/>
  <c r="T5" i="11"/>
  <c r="M5" i="11"/>
  <c r="J5" i="11"/>
  <c r="H5" i="11"/>
  <c r="AB4" i="11"/>
  <c r="U4" i="11"/>
  <c r="T4" i="11"/>
  <c r="M4" i="11"/>
  <c r="AB3" i="11"/>
  <c r="U3" i="11"/>
  <c r="T3" i="11"/>
  <c r="M3" i="11"/>
  <c r="AB2" i="11"/>
  <c r="U2" i="11"/>
  <c r="V2" i="11" s="1"/>
  <c r="T2" i="11"/>
  <c r="P2" i="11"/>
  <c r="R2" i="11" s="1"/>
  <c r="S2" i="11" s="1"/>
  <c r="M2" i="11"/>
  <c r="E3" i="10"/>
  <c r="E4" i="10"/>
  <c r="E5" i="10"/>
  <c r="E6" i="10"/>
  <c r="E7" i="10"/>
  <c r="E8" i="10"/>
  <c r="E9" i="10"/>
  <c r="E10" i="10"/>
  <c r="E11" i="10"/>
  <c r="E12" i="10"/>
  <c r="E13" i="10"/>
  <c r="E2" i="10"/>
  <c r="D4" i="10"/>
  <c r="D5" i="10"/>
  <c r="D6" i="10"/>
  <c r="D7" i="10"/>
  <c r="D8" i="10"/>
  <c r="D9" i="10"/>
  <c r="D10" i="10"/>
  <c r="D11" i="10"/>
  <c r="D12" i="10"/>
  <c r="D13" i="10"/>
  <c r="D3" i="10"/>
  <c r="D2" i="10"/>
  <c r="AB13" i="10"/>
  <c r="U13" i="10"/>
  <c r="V13" i="10" s="1"/>
  <c r="T13" i="10"/>
  <c r="M13" i="10"/>
  <c r="J13" i="10"/>
  <c r="C13" i="10"/>
  <c r="H13" i="10" s="1"/>
  <c r="AB12" i="10"/>
  <c r="U12" i="10"/>
  <c r="T12" i="10"/>
  <c r="M12" i="10"/>
  <c r="J12" i="10"/>
  <c r="C12" i="10"/>
  <c r="H12" i="10" s="1"/>
  <c r="AB11" i="10"/>
  <c r="U11" i="10"/>
  <c r="V12" i="10" s="1"/>
  <c r="T11" i="10"/>
  <c r="M11" i="10"/>
  <c r="J11" i="10"/>
  <c r="C11" i="10"/>
  <c r="H11" i="10" s="1"/>
  <c r="AB10" i="10"/>
  <c r="V10" i="10"/>
  <c r="U10" i="10"/>
  <c r="T10" i="10"/>
  <c r="M10" i="10"/>
  <c r="J10" i="10"/>
  <c r="C10" i="10"/>
  <c r="AB9" i="10"/>
  <c r="V9" i="10"/>
  <c r="U9" i="10"/>
  <c r="T9" i="10"/>
  <c r="M9" i="10"/>
  <c r="J9" i="10"/>
  <c r="C9" i="10"/>
  <c r="H9" i="10" s="1"/>
  <c r="AB8" i="10"/>
  <c r="U8" i="10"/>
  <c r="T8" i="10"/>
  <c r="M8" i="10"/>
  <c r="J8" i="10"/>
  <c r="C8" i="10"/>
  <c r="H8" i="10" s="1"/>
  <c r="AB7" i="10"/>
  <c r="U7" i="10"/>
  <c r="V8" i="10" s="1"/>
  <c r="T7" i="10"/>
  <c r="M7" i="10"/>
  <c r="J7" i="10"/>
  <c r="C7" i="10"/>
  <c r="H7" i="10" s="1"/>
  <c r="AB6" i="10"/>
  <c r="V6" i="10"/>
  <c r="U6" i="10"/>
  <c r="T6" i="10"/>
  <c r="M6" i="10"/>
  <c r="J6" i="10"/>
  <c r="C6" i="10"/>
  <c r="AB5" i="10"/>
  <c r="V5" i="10"/>
  <c r="U5" i="10"/>
  <c r="T5" i="10"/>
  <c r="M5" i="10"/>
  <c r="J5" i="10"/>
  <c r="C5" i="10"/>
  <c r="H5" i="10" s="1"/>
  <c r="AB4" i="10"/>
  <c r="U4" i="10"/>
  <c r="T4" i="10"/>
  <c r="M4" i="10"/>
  <c r="M14" i="10" s="1"/>
  <c r="J4" i="10"/>
  <c r="C4" i="10"/>
  <c r="H4" i="10" s="1"/>
  <c r="AB3" i="10"/>
  <c r="AA3" i="10"/>
  <c r="Z3" i="10"/>
  <c r="X3" i="10"/>
  <c r="X4" i="10" s="1"/>
  <c r="U3" i="10"/>
  <c r="V4" i="10" s="1"/>
  <c r="T3" i="10"/>
  <c r="P3" i="10"/>
  <c r="P4" i="10" s="1"/>
  <c r="M3" i="10"/>
  <c r="J3" i="10"/>
  <c r="C3" i="10"/>
  <c r="H3" i="10" s="1"/>
  <c r="AB2" i="10"/>
  <c r="AB14" i="10" s="1"/>
  <c r="AA2" i="10"/>
  <c r="Z2" i="10"/>
  <c r="X2" i="10"/>
  <c r="V2" i="10"/>
  <c r="U2" i="10"/>
  <c r="T2" i="10"/>
  <c r="T14" i="10" s="1"/>
  <c r="R2" i="10"/>
  <c r="S2" i="10" s="1"/>
  <c r="P2" i="10"/>
  <c r="M2" i="10"/>
  <c r="J2" i="10"/>
  <c r="J14" i="10" s="1"/>
  <c r="C2" i="10"/>
  <c r="D3" i="9"/>
  <c r="D4" i="9"/>
  <c r="D5" i="9"/>
  <c r="D6" i="9"/>
  <c r="D7" i="9"/>
  <c r="D8" i="9"/>
  <c r="D9" i="9"/>
  <c r="D10" i="9"/>
  <c r="D11" i="9"/>
  <c r="D12" i="9"/>
  <c r="D13" i="9"/>
  <c r="D2" i="9"/>
  <c r="E5" i="9"/>
  <c r="E6" i="9"/>
  <c r="E7" i="9"/>
  <c r="E8" i="9"/>
  <c r="E9" i="9"/>
  <c r="E10" i="9"/>
  <c r="E11" i="9"/>
  <c r="E12" i="9"/>
  <c r="E13" i="9"/>
  <c r="E2" i="9"/>
  <c r="X2" i="9"/>
  <c r="M2" i="9"/>
  <c r="M4" i="9"/>
  <c r="M5" i="9"/>
  <c r="M6" i="9"/>
  <c r="M7" i="9"/>
  <c r="M8" i="9"/>
  <c r="M9" i="9"/>
  <c r="M10" i="9"/>
  <c r="M11" i="9"/>
  <c r="M12" i="9"/>
  <c r="M3" i="9"/>
  <c r="M13" i="9"/>
  <c r="J4" i="9"/>
  <c r="J5" i="9"/>
  <c r="J6" i="9"/>
  <c r="J7" i="9"/>
  <c r="J8" i="9"/>
  <c r="J9" i="9"/>
  <c r="J10" i="9"/>
  <c r="J11" i="9"/>
  <c r="J12" i="9"/>
  <c r="J13" i="9"/>
  <c r="J3" i="9"/>
  <c r="J2" i="9"/>
  <c r="G12" i="8"/>
  <c r="G3" i="8"/>
  <c r="G4" i="8"/>
  <c r="G5" i="8"/>
  <c r="G6" i="8"/>
  <c r="G7" i="8"/>
  <c r="G8" i="8"/>
  <c r="G9" i="8"/>
  <c r="G10" i="8"/>
  <c r="G11" i="8"/>
  <c r="G13" i="8"/>
  <c r="G2" i="8"/>
  <c r="H3" i="9"/>
  <c r="H4" i="9"/>
  <c r="H5" i="9"/>
  <c r="H6" i="9"/>
  <c r="H7" i="9"/>
  <c r="H8" i="9"/>
  <c r="H9" i="9"/>
  <c r="H10" i="9"/>
  <c r="H11" i="9"/>
  <c r="H12" i="9"/>
  <c r="H13" i="9"/>
  <c r="H2" i="9"/>
  <c r="C3" i="8"/>
  <c r="C4" i="8"/>
  <c r="C5" i="8"/>
  <c r="C6" i="8"/>
  <c r="C7" i="8"/>
  <c r="C8" i="8"/>
  <c r="C9" i="8"/>
  <c r="C10" i="8"/>
  <c r="C11" i="8"/>
  <c r="C12" i="8"/>
  <c r="C13" i="8"/>
  <c r="C2" i="8"/>
  <c r="C3" i="9"/>
  <c r="C4" i="9"/>
  <c r="C5" i="9"/>
  <c r="C6" i="9"/>
  <c r="C7" i="9"/>
  <c r="C8" i="9"/>
  <c r="C9" i="9"/>
  <c r="C10" i="9"/>
  <c r="C11" i="9"/>
  <c r="C12" i="9"/>
  <c r="C13" i="9"/>
  <c r="C2" i="9"/>
  <c r="AB13" i="9"/>
  <c r="U13" i="9"/>
  <c r="T13" i="9"/>
  <c r="AB12" i="9"/>
  <c r="U12" i="9"/>
  <c r="T12" i="9"/>
  <c r="AB11" i="9"/>
  <c r="U11" i="9"/>
  <c r="T11" i="9"/>
  <c r="AB10" i="9"/>
  <c r="U10" i="9"/>
  <c r="T10" i="9"/>
  <c r="AB9" i="9"/>
  <c r="U9" i="9"/>
  <c r="T9" i="9"/>
  <c r="AB8" i="9"/>
  <c r="U8" i="9"/>
  <c r="T8" i="9"/>
  <c r="AB7" i="9"/>
  <c r="U7" i="9"/>
  <c r="T7" i="9"/>
  <c r="AB6" i="9"/>
  <c r="U6" i="9"/>
  <c r="T6" i="9"/>
  <c r="AB5" i="9"/>
  <c r="U5" i="9"/>
  <c r="T5" i="9"/>
  <c r="AB4" i="9"/>
  <c r="U4" i="9"/>
  <c r="T4" i="9"/>
  <c r="AB3" i="9"/>
  <c r="U3" i="9"/>
  <c r="T3" i="9"/>
  <c r="AB2" i="9"/>
  <c r="X3" i="9"/>
  <c r="U2" i="9"/>
  <c r="V2" i="9" s="1"/>
  <c r="T2" i="9"/>
  <c r="P2" i="9"/>
  <c r="P3" i="9" s="1"/>
  <c r="D7" i="8"/>
  <c r="I3" i="3"/>
  <c r="D8" i="8" s="1"/>
  <c r="U7" i="8"/>
  <c r="U8" i="8"/>
  <c r="U9" i="8"/>
  <c r="U10" i="8"/>
  <c r="U11" i="8"/>
  <c r="U12" i="8"/>
  <c r="U13" i="8"/>
  <c r="U2" i="8"/>
  <c r="T13" i="8"/>
  <c r="S13" i="8"/>
  <c r="S12" i="8"/>
  <c r="S4" i="8"/>
  <c r="S5" i="8"/>
  <c r="S6" i="8"/>
  <c r="S7" i="8"/>
  <c r="S8" i="8"/>
  <c r="S9" i="8"/>
  <c r="S10" i="8"/>
  <c r="S11" i="8"/>
  <c r="S3" i="8"/>
  <c r="S2" i="8"/>
  <c r="L13" i="8"/>
  <c r="L12" i="8"/>
  <c r="L3" i="8"/>
  <c r="L4" i="8"/>
  <c r="L5" i="8"/>
  <c r="L6" i="8"/>
  <c r="L7" i="8"/>
  <c r="L8" i="8"/>
  <c r="L9" i="8"/>
  <c r="L10" i="8"/>
  <c r="L11" i="8"/>
  <c r="I13" i="8"/>
  <c r="D9" i="8"/>
  <c r="D10" i="8"/>
  <c r="D11" i="8"/>
  <c r="D13" i="8"/>
  <c r="D2" i="8"/>
  <c r="D3" i="8"/>
  <c r="D5" i="8"/>
  <c r="D6" i="8"/>
  <c r="G2" i="3"/>
  <c r="D5" i="3"/>
  <c r="D4" i="3"/>
  <c r="D3" i="3"/>
  <c r="D2" i="3"/>
  <c r="G52" i="6"/>
  <c r="F51" i="6"/>
  <c r="F52" i="6"/>
  <c r="F53" i="6"/>
  <c r="F54" i="6"/>
  <c r="G54" i="6"/>
  <c r="G3" i="3"/>
  <c r="J21" i="6"/>
  <c r="J19" i="6"/>
  <c r="G4" i="3"/>
  <c r="G5" i="3"/>
  <c r="T9" i="8"/>
  <c r="T10" i="8"/>
  <c r="T11" i="8"/>
  <c r="T12" i="8"/>
  <c r="AA4" i="14" l="1"/>
  <c r="AA5" i="14"/>
  <c r="U13" i="14"/>
  <c r="U12" i="14"/>
  <c r="S7" i="14"/>
  <c r="T10" i="14"/>
  <c r="U11" i="14" s="1"/>
  <c r="U7" i="14"/>
  <c r="U9" i="14"/>
  <c r="U10" i="14"/>
  <c r="S6" i="14"/>
  <c r="S10" i="14"/>
  <c r="U3" i="14"/>
  <c r="U4" i="14"/>
  <c r="U6" i="14"/>
  <c r="E2" i="14"/>
  <c r="U8" i="14"/>
  <c r="Q2" i="14"/>
  <c r="R2" i="14" s="1"/>
  <c r="L14" i="14"/>
  <c r="E4" i="9"/>
  <c r="E8" i="8"/>
  <c r="E3" i="9"/>
  <c r="F3" i="9" s="1"/>
  <c r="E5" i="14"/>
  <c r="W4" i="14"/>
  <c r="Y3" i="14"/>
  <c r="Z3" i="14" s="1"/>
  <c r="Q3" i="14"/>
  <c r="R3" i="14" s="1"/>
  <c r="E4" i="14"/>
  <c r="Y2" i="14"/>
  <c r="Z2" i="14" s="1"/>
  <c r="H5" i="12"/>
  <c r="F5" i="12"/>
  <c r="X4" i="12"/>
  <c r="Z3" i="12"/>
  <c r="AA3" i="12" s="1"/>
  <c r="P5" i="12"/>
  <c r="R4" i="12"/>
  <c r="S4" i="12" s="1"/>
  <c r="F12" i="12"/>
  <c r="F13" i="12"/>
  <c r="F9" i="12"/>
  <c r="H7" i="12"/>
  <c r="Z2" i="12"/>
  <c r="AA2" i="12" s="1"/>
  <c r="F3" i="12"/>
  <c r="V4" i="12"/>
  <c r="V14" i="12" s="1"/>
  <c r="F6" i="12"/>
  <c r="F7" i="12"/>
  <c r="V8" i="12"/>
  <c r="F8" i="12" s="1"/>
  <c r="F10" i="12"/>
  <c r="F11" i="12"/>
  <c r="V12" i="12"/>
  <c r="H2" i="12"/>
  <c r="H6" i="12"/>
  <c r="H10" i="12"/>
  <c r="H3" i="12"/>
  <c r="R3" i="12"/>
  <c r="S3" i="12" s="1"/>
  <c r="H11" i="12"/>
  <c r="V11" i="11"/>
  <c r="V6" i="11"/>
  <c r="V5" i="11"/>
  <c r="E13" i="11"/>
  <c r="E9" i="11"/>
  <c r="E5" i="11"/>
  <c r="E12" i="11"/>
  <c r="E8" i="11"/>
  <c r="AB14" i="11"/>
  <c r="T14" i="11"/>
  <c r="V9" i="11"/>
  <c r="F9" i="11" s="1"/>
  <c r="V12" i="11"/>
  <c r="V3" i="11"/>
  <c r="F3" i="11" s="1"/>
  <c r="V4" i="11"/>
  <c r="F4" i="11" s="1"/>
  <c r="V7" i="11"/>
  <c r="P3" i="11"/>
  <c r="P4" i="11" s="1"/>
  <c r="R4" i="11" s="1"/>
  <c r="S4" i="11" s="1"/>
  <c r="M14" i="11"/>
  <c r="F5" i="11"/>
  <c r="F13" i="11"/>
  <c r="F8" i="11"/>
  <c r="Z3" i="11"/>
  <c r="AA3" i="11" s="1"/>
  <c r="P5" i="11"/>
  <c r="H6" i="11"/>
  <c r="H10" i="11"/>
  <c r="H7" i="11"/>
  <c r="Z2" i="11"/>
  <c r="AA2" i="11" s="1"/>
  <c r="H4" i="11"/>
  <c r="F6" i="11"/>
  <c r="F7" i="11"/>
  <c r="H8" i="11"/>
  <c r="F11" i="11"/>
  <c r="H12" i="11"/>
  <c r="R3" i="11"/>
  <c r="S3" i="11" s="1"/>
  <c r="H11" i="11"/>
  <c r="P5" i="10"/>
  <c r="R4" i="10"/>
  <c r="S4" i="10" s="1"/>
  <c r="F8" i="10"/>
  <c r="F4" i="10"/>
  <c r="Z4" i="10"/>
  <c r="AA4" i="10" s="1"/>
  <c r="X5" i="10"/>
  <c r="F12" i="10"/>
  <c r="H10" i="10"/>
  <c r="F2" i="10"/>
  <c r="R3" i="10"/>
  <c r="S3" i="10" s="1"/>
  <c r="V3" i="10"/>
  <c r="F3" i="10" s="1"/>
  <c r="F5" i="10"/>
  <c r="F6" i="10"/>
  <c r="V7" i="10"/>
  <c r="F7" i="10" s="1"/>
  <c r="F9" i="10"/>
  <c r="F10" i="10"/>
  <c r="V11" i="10"/>
  <c r="F11" i="10" s="1"/>
  <c r="F13" i="10"/>
  <c r="H2" i="10"/>
  <c r="H6" i="10"/>
  <c r="V3" i="9"/>
  <c r="R2" i="9"/>
  <c r="S2" i="9" s="1"/>
  <c r="M14" i="9"/>
  <c r="E10" i="8"/>
  <c r="E9" i="8"/>
  <c r="E13" i="8"/>
  <c r="E11" i="8"/>
  <c r="E7" i="8"/>
  <c r="D14" i="9"/>
  <c r="J14" i="9"/>
  <c r="AB14" i="9"/>
  <c r="V4" i="9"/>
  <c r="F4" i="9" s="1"/>
  <c r="V5" i="9"/>
  <c r="F5" i="9" s="1"/>
  <c r="V6" i="9"/>
  <c r="F6" i="9" s="1"/>
  <c r="V7" i="9"/>
  <c r="F7" i="9" s="1"/>
  <c r="V8" i="9"/>
  <c r="F8" i="9" s="1"/>
  <c r="V9" i="9"/>
  <c r="V10" i="9"/>
  <c r="F10" i="9" s="1"/>
  <c r="V12" i="9"/>
  <c r="F12" i="9" s="1"/>
  <c r="T14" i="9"/>
  <c r="F9" i="9"/>
  <c r="V13" i="9"/>
  <c r="F13" i="9" s="1"/>
  <c r="F2" i="9"/>
  <c r="X4" i="9"/>
  <c r="Z3" i="9"/>
  <c r="AA3" i="9" s="1"/>
  <c r="R3" i="9"/>
  <c r="S3" i="9" s="1"/>
  <c r="P4" i="9"/>
  <c r="E14" i="9"/>
  <c r="Z2" i="9"/>
  <c r="AA2" i="9" s="1"/>
  <c r="V11" i="9"/>
  <c r="F11" i="9" s="1"/>
  <c r="D4" i="8"/>
  <c r="D12" i="8"/>
  <c r="E12" i="8" s="1"/>
  <c r="U3" i="8"/>
  <c r="E3" i="8" s="1"/>
  <c r="W2" i="8"/>
  <c r="T4" i="8"/>
  <c r="AA6" i="14" l="1"/>
  <c r="S14" i="14"/>
  <c r="E6" i="14"/>
  <c r="U14" i="14"/>
  <c r="C14" i="14"/>
  <c r="D14" i="14"/>
  <c r="E3" i="14"/>
  <c r="Q4" i="14"/>
  <c r="R4" i="14" s="1"/>
  <c r="Y4" i="14"/>
  <c r="Z4" i="14" s="1"/>
  <c r="W5" i="14"/>
  <c r="D14" i="12"/>
  <c r="F4" i="12"/>
  <c r="P6" i="12"/>
  <c r="R5" i="12"/>
  <c r="S5" i="12" s="1"/>
  <c r="F2" i="12"/>
  <c r="E14" i="12"/>
  <c r="X5" i="12"/>
  <c r="Z4" i="12"/>
  <c r="AA4" i="12" s="1"/>
  <c r="F12" i="11"/>
  <c r="V14" i="11"/>
  <c r="P6" i="11"/>
  <c r="R5" i="11"/>
  <c r="S5" i="11" s="1"/>
  <c r="F2" i="11"/>
  <c r="F14" i="11" s="1"/>
  <c r="E14" i="11"/>
  <c r="Z4" i="11"/>
  <c r="AA4" i="11" s="1"/>
  <c r="D14" i="11"/>
  <c r="F14" i="10"/>
  <c r="D14" i="10"/>
  <c r="X6" i="10"/>
  <c r="Z5" i="10"/>
  <c r="AA5" i="10" s="1"/>
  <c r="E14" i="10"/>
  <c r="V14" i="10"/>
  <c r="P6" i="10"/>
  <c r="R5" i="10"/>
  <c r="S5" i="10" s="1"/>
  <c r="F14" i="9"/>
  <c r="P5" i="9"/>
  <c r="R4" i="9"/>
  <c r="S4" i="9" s="1"/>
  <c r="V14" i="9"/>
  <c r="Z4" i="9"/>
  <c r="AA4" i="9" s="1"/>
  <c r="X5" i="9"/>
  <c r="U4" i="8"/>
  <c r="W3" i="8"/>
  <c r="Y2" i="8"/>
  <c r="T5" i="8"/>
  <c r="U6" i="8" s="1"/>
  <c r="E6" i="8" s="1"/>
  <c r="I2" i="7"/>
  <c r="I3" i="7"/>
  <c r="I2" i="8"/>
  <c r="I10" i="8"/>
  <c r="I11" i="8"/>
  <c r="I12" i="8"/>
  <c r="I4" i="8"/>
  <c r="I5" i="8"/>
  <c r="I6" i="8"/>
  <c r="I7" i="8"/>
  <c r="I8" i="8"/>
  <c r="I9" i="8"/>
  <c r="I3" i="8"/>
  <c r="I13" i="7"/>
  <c r="AA3" i="8"/>
  <c r="AA4" i="8"/>
  <c r="AA5" i="8"/>
  <c r="AA6" i="8"/>
  <c r="AA7" i="8"/>
  <c r="AA8" i="8"/>
  <c r="AA9" i="8"/>
  <c r="AA10" i="8"/>
  <c r="AA11" i="8"/>
  <c r="AA12" i="8"/>
  <c r="AA13" i="8"/>
  <c r="AA2" i="8"/>
  <c r="Z2" i="8"/>
  <c r="O2" i="8"/>
  <c r="AA7" i="14" l="1"/>
  <c r="E7" i="14" s="1"/>
  <c r="Q5" i="14"/>
  <c r="R5" i="14" s="1"/>
  <c r="Y5" i="14"/>
  <c r="Z5" i="14" s="1"/>
  <c r="W6" i="14"/>
  <c r="F14" i="12"/>
  <c r="Z5" i="12"/>
  <c r="AA5" i="12" s="1"/>
  <c r="X6" i="12"/>
  <c r="R6" i="12"/>
  <c r="S6" i="12" s="1"/>
  <c r="P7" i="12"/>
  <c r="Z5" i="11"/>
  <c r="AA5" i="11" s="1"/>
  <c r="P7" i="11"/>
  <c r="R6" i="11"/>
  <c r="S6" i="11" s="1"/>
  <c r="R6" i="10"/>
  <c r="S6" i="10" s="1"/>
  <c r="P7" i="10"/>
  <c r="X7" i="10"/>
  <c r="Z6" i="10"/>
  <c r="AA6" i="10" s="1"/>
  <c r="Z5" i="9"/>
  <c r="AA5" i="9" s="1"/>
  <c r="X6" i="9"/>
  <c r="R5" i="9"/>
  <c r="S5" i="9" s="1"/>
  <c r="P6" i="9"/>
  <c r="U5" i="8"/>
  <c r="E5" i="8" s="1"/>
  <c r="E4" i="8"/>
  <c r="W4" i="8"/>
  <c r="Y3" i="8"/>
  <c r="Z3" i="8" s="1"/>
  <c r="T6" i="8"/>
  <c r="Q2" i="8"/>
  <c r="R2" i="8" s="1"/>
  <c r="O3" i="8"/>
  <c r="C14" i="8"/>
  <c r="AA14" i="8"/>
  <c r="I14" i="8"/>
  <c r="K11" i="7"/>
  <c r="K12" i="7"/>
  <c r="AA8" i="14" l="1"/>
  <c r="E8" i="14" s="1"/>
  <c r="W7" i="14"/>
  <c r="Y6" i="14"/>
  <c r="Z6" i="14" s="1"/>
  <c r="Q6" i="14"/>
  <c r="R6" i="14" s="1"/>
  <c r="X7" i="12"/>
  <c r="Z6" i="12"/>
  <c r="AA6" i="12" s="1"/>
  <c r="R7" i="12"/>
  <c r="S7" i="12" s="1"/>
  <c r="P8" i="12"/>
  <c r="R7" i="11"/>
  <c r="S7" i="11" s="1"/>
  <c r="P8" i="11"/>
  <c r="Z6" i="11"/>
  <c r="AA6" i="11" s="1"/>
  <c r="X8" i="10"/>
  <c r="Z7" i="10"/>
  <c r="AA7" i="10" s="1"/>
  <c r="P8" i="10"/>
  <c r="R7" i="10"/>
  <c r="S7" i="10" s="1"/>
  <c r="X7" i="9"/>
  <c r="Z6" i="9"/>
  <c r="AA6" i="9" s="1"/>
  <c r="P7" i="9"/>
  <c r="R6" i="9"/>
  <c r="S6" i="9" s="1"/>
  <c r="U14" i="8"/>
  <c r="W5" i="8"/>
  <c r="Y4" i="8"/>
  <c r="Z4" i="8" s="1"/>
  <c r="T8" i="8"/>
  <c r="T7" i="8"/>
  <c r="D14" i="8"/>
  <c r="O4" i="8"/>
  <c r="Q3" i="8"/>
  <c r="R3" i="8" s="1"/>
  <c r="J13" i="7"/>
  <c r="K13" i="7"/>
  <c r="K3" i="7"/>
  <c r="K4" i="7"/>
  <c r="K5" i="7"/>
  <c r="K6" i="7"/>
  <c r="K7" i="7"/>
  <c r="K8" i="7"/>
  <c r="K9" i="7"/>
  <c r="K10" i="7"/>
  <c r="K2" i="7"/>
  <c r="J3" i="7"/>
  <c r="I4" i="7"/>
  <c r="J4" i="7" s="1"/>
  <c r="I5" i="7"/>
  <c r="J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H2" i="7"/>
  <c r="J2" i="7" s="1"/>
  <c r="F2" i="2"/>
  <c r="A2" i="2"/>
  <c r="D2" i="2"/>
  <c r="G2" i="2"/>
  <c r="A3" i="2"/>
  <c r="D3" i="2"/>
  <c r="F3" i="2" a="1"/>
  <c r="F3" i="2" s="1"/>
  <c r="G3" i="2"/>
  <c r="M2" i="3"/>
  <c r="N2" i="3" s="1"/>
  <c r="M3" i="3"/>
  <c r="N3" i="3" s="1"/>
  <c r="M4" i="3"/>
  <c r="N4" i="3" s="1"/>
  <c r="M5" i="3"/>
  <c r="N5" i="3" s="1"/>
  <c r="B2" i="7"/>
  <c r="F2" i="7"/>
  <c r="AA9" i="14" l="1"/>
  <c r="Q7" i="14"/>
  <c r="R7" i="14" s="1"/>
  <c r="W8" i="14"/>
  <c r="Y7" i="14"/>
  <c r="Z7" i="14" s="1"/>
  <c r="P9" i="12"/>
  <c r="R8" i="12"/>
  <c r="S8" i="12" s="1"/>
  <c r="X8" i="12"/>
  <c r="Z7" i="12"/>
  <c r="AA7" i="12" s="1"/>
  <c r="Z7" i="11"/>
  <c r="AA7" i="11" s="1"/>
  <c r="P9" i="11"/>
  <c r="R8" i="11"/>
  <c r="S8" i="11" s="1"/>
  <c r="P9" i="10"/>
  <c r="R8" i="10"/>
  <c r="S8" i="10" s="1"/>
  <c r="X9" i="10"/>
  <c r="Z8" i="10"/>
  <c r="AA8" i="10" s="1"/>
  <c r="R7" i="9"/>
  <c r="S7" i="9" s="1"/>
  <c r="P8" i="9"/>
  <c r="X8" i="9"/>
  <c r="Z7" i="9"/>
  <c r="AA7" i="9" s="1"/>
  <c r="W6" i="8"/>
  <c r="Y5" i="8"/>
  <c r="Z5" i="8" s="1"/>
  <c r="O5" i="8"/>
  <c r="Q4" i="8"/>
  <c r="R4" i="8" s="1"/>
  <c r="E3" i="7"/>
  <c r="F3" i="7" s="1"/>
  <c r="G3" i="7" s="1"/>
  <c r="G2" i="7"/>
  <c r="B3" i="7"/>
  <c r="L2" i="7"/>
  <c r="M2" i="7"/>
  <c r="N2" i="7" s="1"/>
  <c r="E4" i="7"/>
  <c r="B4" i="7"/>
  <c r="F4" i="7"/>
  <c r="G4" i="7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F51" i="2" a="1"/>
  <c r="F51" i="2" s="1"/>
  <c r="F52" i="2" a="1"/>
  <c r="F52" i="2" s="1"/>
  <c r="F53" i="2" a="1"/>
  <c r="F53" i="2" s="1"/>
  <c r="F54" i="2" a="1"/>
  <c r="F54" i="2" s="1"/>
  <c r="F55" i="2" a="1"/>
  <c r="F55" i="2" s="1"/>
  <c r="F56" i="2" a="1"/>
  <c r="F56" i="2" s="1"/>
  <c r="F57" i="2" a="1"/>
  <c r="F57" i="2" s="1"/>
  <c r="F58" i="2" a="1"/>
  <c r="F58" i="2" s="1"/>
  <c r="F59" i="2" a="1"/>
  <c r="F59" i="2" s="1"/>
  <c r="F60" i="2" a="1"/>
  <c r="F60" i="2" s="1"/>
  <c r="F61" i="2" a="1"/>
  <c r="F61" i="2" s="1"/>
  <c r="F62" i="2" a="1"/>
  <c r="F62" i="2" s="1"/>
  <c r="F63" i="2" a="1"/>
  <c r="F63" i="2" s="1"/>
  <c r="F64" i="2" a="1"/>
  <c r="F64" i="2" s="1"/>
  <c r="F65" i="2" a="1"/>
  <c r="F65" i="2" s="1"/>
  <c r="F66" i="2" a="1"/>
  <c r="F66" i="2" s="1"/>
  <c r="F67" i="2" a="1"/>
  <c r="F67" i="2" s="1"/>
  <c r="F68" i="2" a="1"/>
  <c r="F68" i="2" s="1"/>
  <c r="F69" i="2" a="1"/>
  <c r="F69" i="2" s="1"/>
  <c r="F70" i="2" a="1"/>
  <c r="F70" i="2" s="1"/>
  <c r="F71" i="2" a="1"/>
  <c r="F71" i="2" s="1"/>
  <c r="F72" i="2" a="1"/>
  <c r="F72" i="2" s="1"/>
  <c r="F73" i="2" a="1"/>
  <c r="F73" i="2" s="1"/>
  <c r="F74" i="2" a="1"/>
  <c r="F74" i="2" s="1"/>
  <c r="F75" i="2" a="1"/>
  <c r="F75" i="2" s="1"/>
  <c r="F76" i="2" a="1"/>
  <c r="F76" i="2" s="1"/>
  <c r="F77" i="2" a="1"/>
  <c r="F77" i="2" s="1"/>
  <c r="F78" i="2" a="1"/>
  <c r="F78" i="2" s="1"/>
  <c r="F79" i="2" a="1"/>
  <c r="F79" i="2" s="1"/>
  <c r="F80" i="2" a="1"/>
  <c r="F80" i="2" s="1"/>
  <c r="F81" i="2" a="1"/>
  <c r="F81" i="2" s="1"/>
  <c r="F82" i="2" a="1"/>
  <c r="F82" i="2" s="1"/>
  <c r="F83" i="2" a="1"/>
  <c r="F83" i="2" s="1"/>
  <c r="F84" i="2" a="1"/>
  <c r="F84" i="2" s="1"/>
  <c r="F85" i="2" a="1"/>
  <c r="F85" i="2" s="1"/>
  <c r="F86" i="2" a="1"/>
  <c r="F86" i="2" s="1"/>
  <c r="F87" i="2" a="1"/>
  <c r="F87" i="2" s="1"/>
  <c r="F88" i="2" a="1"/>
  <c r="F88" i="2" s="1"/>
  <c r="F89" i="2" a="1"/>
  <c r="F89" i="2" s="1"/>
  <c r="F90" i="2" a="1"/>
  <c r="F90" i="2" s="1"/>
  <c r="F91" i="2" a="1"/>
  <c r="F91" i="2" s="1"/>
  <c r="F92" i="2" a="1"/>
  <c r="F92" i="2" s="1"/>
  <c r="F93" i="2" a="1"/>
  <c r="F93" i="2" s="1"/>
  <c r="F94" i="2" a="1"/>
  <c r="F94" i="2" s="1"/>
  <c r="F95" i="2" a="1"/>
  <c r="F95" i="2" s="1"/>
  <c r="F96" i="2" a="1"/>
  <c r="F96" i="2" s="1"/>
  <c r="F97" i="2" a="1"/>
  <c r="F97" i="2" s="1"/>
  <c r="F98" i="2" a="1"/>
  <c r="F98" i="2" s="1"/>
  <c r="F99" i="2" a="1"/>
  <c r="F99" i="2" s="1"/>
  <c r="F100" i="2" a="1"/>
  <c r="F100" i="2" s="1"/>
  <c r="F101" i="2" a="1"/>
  <c r="F101" i="2" s="1"/>
  <c r="F102" i="2" a="1"/>
  <c r="F102" i="2" s="1"/>
  <c r="F103" i="2" a="1"/>
  <c r="F103" i="2" s="1"/>
  <c r="F104" i="2" a="1"/>
  <c r="F104" i="2" s="1"/>
  <c r="F105" i="2" a="1"/>
  <c r="F105" i="2" s="1"/>
  <c r="F106" i="2" a="1"/>
  <c r="F106" i="2" s="1"/>
  <c r="F107" i="2" a="1"/>
  <c r="F107" i="2" s="1"/>
  <c r="F108" i="2" a="1"/>
  <c r="F108" i="2" s="1"/>
  <c r="F109" i="2" a="1"/>
  <c r="F109" i="2" s="1"/>
  <c r="F110" i="2" a="1"/>
  <c r="F110" i="2" s="1"/>
  <c r="F111" i="2" a="1"/>
  <c r="F111" i="2" s="1"/>
  <c r="F112" i="2" a="1"/>
  <c r="F112" i="2" s="1"/>
  <c r="F113" i="2" a="1"/>
  <c r="F113" i="2" s="1"/>
  <c r="F114" i="2" a="1"/>
  <c r="F114" i="2" s="1"/>
  <c r="F115" i="2" a="1"/>
  <c r="F115" i="2" s="1"/>
  <c r="F116" i="2" a="1"/>
  <c r="F116" i="2" s="1"/>
  <c r="F117" i="2" a="1"/>
  <c r="F117" i="2" s="1"/>
  <c r="F118" i="2" a="1"/>
  <c r="F118" i="2" s="1"/>
  <c r="F119" i="2" a="1"/>
  <c r="F119" i="2" s="1"/>
  <c r="F120" i="2" a="1"/>
  <c r="F120" i="2" s="1"/>
  <c r="F121" i="2" a="1"/>
  <c r="F121" i="2" s="1"/>
  <c r="F122" i="2" a="1"/>
  <c r="F122" i="2" s="1"/>
  <c r="F123" i="2" a="1"/>
  <c r="F123" i="2" s="1"/>
  <c r="F124" i="2" a="1"/>
  <c r="F124" i="2" s="1"/>
  <c r="F125" i="2" a="1"/>
  <c r="F125" i="2" s="1"/>
  <c r="F126" i="2" a="1"/>
  <c r="F126" i="2" s="1"/>
  <c r="F127" i="2" a="1"/>
  <c r="F127" i="2" s="1"/>
  <c r="F128" i="2" a="1"/>
  <c r="F128" i="2" s="1"/>
  <c r="F129" i="2" a="1"/>
  <c r="F129" i="2" s="1"/>
  <c r="F130" i="2" a="1"/>
  <c r="F130" i="2" s="1"/>
  <c r="F131" i="2" a="1"/>
  <c r="F131" i="2" s="1"/>
  <c r="F132" i="2" a="1"/>
  <c r="F132" i="2" s="1"/>
  <c r="F133" i="2" a="1"/>
  <c r="F133" i="2" s="1"/>
  <c r="F134" i="2" a="1"/>
  <c r="F134" i="2" s="1"/>
  <c r="F135" i="2" a="1"/>
  <c r="F135" i="2" s="1"/>
  <c r="F136" i="2" a="1"/>
  <c r="F136" i="2" s="1"/>
  <c r="F137" i="2" a="1"/>
  <c r="F137" i="2" s="1"/>
  <c r="F138" i="2" a="1"/>
  <c r="F138" i="2" s="1"/>
  <c r="F139" i="2" a="1"/>
  <c r="F139" i="2" s="1"/>
  <c r="F140" i="2" a="1"/>
  <c r="F140" i="2" s="1"/>
  <c r="F141" i="2" a="1"/>
  <c r="F141" i="2" s="1"/>
  <c r="F142" i="2" a="1"/>
  <c r="F142" i="2" s="1"/>
  <c r="F143" i="2" a="1"/>
  <c r="F143" i="2" s="1"/>
  <c r="F144" i="2" a="1"/>
  <c r="F144" i="2" s="1"/>
  <c r="F145" i="2" a="1"/>
  <c r="F145" i="2" s="1"/>
  <c r="F146" i="2" a="1"/>
  <c r="F146" i="2" s="1"/>
  <c r="F147" i="2" a="1"/>
  <c r="F147" i="2" s="1"/>
  <c r="F148" i="2" a="1"/>
  <c r="F148" i="2" s="1"/>
  <c r="F149" i="2" a="1"/>
  <c r="F149" i="2" s="1"/>
  <c r="F150" i="2" a="1"/>
  <c r="F150" i="2" s="1"/>
  <c r="F151" i="2" a="1"/>
  <c r="F151" i="2" s="1"/>
  <c r="F152" i="2" a="1"/>
  <c r="F152" i="2" s="1"/>
  <c r="F153" i="2" a="1"/>
  <c r="F153" i="2" s="1"/>
  <c r="F154" i="2" a="1"/>
  <c r="F154" i="2" s="1"/>
  <c r="F155" i="2" a="1"/>
  <c r="F155" i="2" s="1"/>
  <c r="F156" i="2" a="1"/>
  <c r="F156" i="2" s="1"/>
  <c r="F157" i="2" a="1"/>
  <c r="F157" i="2" s="1"/>
  <c r="F158" i="2" a="1"/>
  <c r="F158" i="2" s="1"/>
  <c r="F159" i="2" a="1"/>
  <c r="F159" i="2" s="1"/>
  <c r="F160" i="2" a="1"/>
  <c r="F160" i="2" s="1"/>
  <c r="F161" i="2" a="1"/>
  <c r="F161" i="2" s="1"/>
  <c r="F162" i="2" a="1"/>
  <c r="F162" i="2" s="1"/>
  <c r="F163" i="2" a="1"/>
  <c r="F163" i="2" s="1"/>
  <c r="F164" i="2" a="1"/>
  <c r="F164" i="2" s="1"/>
  <c r="F165" i="2" a="1"/>
  <c r="F165" i="2" s="1"/>
  <c r="F166" i="2" a="1"/>
  <c r="F166" i="2" s="1"/>
  <c r="F167" i="2" a="1"/>
  <c r="F167" i="2" s="1"/>
  <c r="F168" i="2" a="1"/>
  <c r="F168" i="2" s="1"/>
  <c r="F169" i="2" a="1"/>
  <c r="F169" i="2" s="1"/>
  <c r="F170" i="2" a="1"/>
  <c r="F170" i="2" s="1"/>
  <c r="F171" i="2" a="1"/>
  <c r="F171" i="2" s="1"/>
  <c r="F172" i="2" a="1"/>
  <c r="F172" i="2" s="1"/>
  <c r="F173" i="2" a="1"/>
  <c r="F173" i="2" s="1"/>
  <c r="F174" i="2" a="1"/>
  <c r="F174" i="2" s="1"/>
  <c r="F175" i="2" a="1"/>
  <c r="F175" i="2" s="1"/>
  <c r="F176" i="2" a="1"/>
  <c r="F176" i="2" s="1"/>
  <c r="F177" i="2" a="1"/>
  <c r="F177" i="2" s="1"/>
  <c r="F178" i="2" a="1"/>
  <c r="F178" i="2" s="1"/>
  <c r="F179" i="2" a="1"/>
  <c r="F179" i="2" s="1"/>
  <c r="F180" i="2" a="1"/>
  <c r="F180" i="2" s="1"/>
  <c r="F181" i="2" a="1"/>
  <c r="F181" i="2" s="1"/>
  <c r="F182" i="2" a="1"/>
  <c r="F182" i="2" s="1"/>
  <c r="F183" i="2" a="1"/>
  <c r="F183" i="2" s="1"/>
  <c r="F184" i="2" a="1"/>
  <c r="F184" i="2" s="1"/>
  <c r="F185" i="2" a="1"/>
  <c r="F185" i="2" s="1"/>
  <c r="F186" i="2" a="1"/>
  <c r="F186" i="2" s="1"/>
  <c r="F187" i="2" a="1"/>
  <c r="F187" i="2" s="1"/>
  <c r="F188" i="2" a="1"/>
  <c r="F188" i="2" s="1"/>
  <c r="F189" i="2" a="1"/>
  <c r="F189" i="2" s="1"/>
  <c r="F190" i="2" a="1"/>
  <c r="F190" i="2" s="1"/>
  <c r="F191" i="2" a="1"/>
  <c r="F191" i="2" s="1"/>
  <c r="F192" i="2" a="1"/>
  <c r="F192" i="2" s="1"/>
  <c r="F193" i="2" a="1"/>
  <c r="F193" i="2" s="1"/>
  <c r="F194" i="2" a="1"/>
  <c r="F194" i="2" s="1"/>
  <c r="F195" i="2" a="1"/>
  <c r="F195" i="2" s="1"/>
  <c r="F196" i="2" a="1"/>
  <c r="F196" i="2" s="1"/>
  <c r="F197" i="2" a="1"/>
  <c r="F197" i="2" s="1"/>
  <c r="F198" i="2" a="1"/>
  <c r="F198" i="2" s="1"/>
  <c r="F199" i="2" a="1"/>
  <c r="F199" i="2" s="1"/>
  <c r="F200" i="2" a="1"/>
  <c r="F200" i="2" s="1"/>
  <c r="F201" i="2" a="1"/>
  <c r="F201" i="2" s="1"/>
  <c r="F202" i="2" a="1"/>
  <c r="F202" i="2" s="1"/>
  <c r="F203" i="2" a="1"/>
  <c r="F203" i="2" s="1"/>
  <c r="F204" i="2" a="1"/>
  <c r="F204" i="2" s="1"/>
  <c r="F205" i="2" a="1"/>
  <c r="F205" i="2" s="1"/>
  <c r="F206" i="2" a="1"/>
  <c r="F206" i="2" s="1"/>
  <c r="F207" i="2" a="1"/>
  <c r="F207" i="2" s="1"/>
  <c r="F208" i="2" a="1"/>
  <c r="F208" i="2" s="1"/>
  <c r="F209" i="2" a="1"/>
  <c r="F209" i="2" s="1"/>
  <c r="F210" i="2" a="1"/>
  <c r="F210" i="2" s="1"/>
  <c r="F211" i="2" a="1"/>
  <c r="F211" i="2" s="1"/>
  <c r="F212" i="2" a="1"/>
  <c r="F212" i="2" s="1"/>
  <c r="F213" i="2" a="1"/>
  <c r="F213" i="2" s="1"/>
  <c r="F214" i="2" a="1"/>
  <c r="F214" i="2" s="1"/>
  <c r="F215" i="2" a="1"/>
  <c r="F215" i="2" s="1"/>
  <c r="F216" i="2" a="1"/>
  <c r="F216" i="2" s="1"/>
  <c r="F217" i="2" a="1"/>
  <c r="F217" i="2" s="1"/>
  <c r="F218" i="2" a="1"/>
  <c r="F218" i="2" s="1"/>
  <c r="F219" i="2" a="1"/>
  <c r="F219" i="2" s="1"/>
  <c r="F220" i="2" a="1"/>
  <c r="F220" i="2" s="1"/>
  <c r="F221" i="2" a="1"/>
  <c r="F221" i="2" s="1"/>
  <c r="F222" i="2" a="1"/>
  <c r="F222" i="2" s="1"/>
  <c r="F223" i="2" a="1"/>
  <c r="F223" i="2" s="1"/>
  <c r="F224" i="2" a="1"/>
  <c r="F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F230" i="2" a="1"/>
  <c r="F230" i="2" s="1"/>
  <c r="F231" i="2" a="1"/>
  <c r="F231" i="2" s="1"/>
  <c r="F232" i="2" a="1"/>
  <c r="F232" i="2" s="1"/>
  <c r="F233" i="2" a="1"/>
  <c r="F233" i="2" s="1"/>
  <c r="F234" i="2" a="1"/>
  <c r="F234" i="2" s="1"/>
  <c r="F235" i="2" a="1"/>
  <c r="F235" i="2" s="1"/>
  <c r="F236" i="2" a="1"/>
  <c r="F236" i="2" s="1"/>
  <c r="F237" i="2" a="1"/>
  <c r="F237" i="2" s="1"/>
  <c r="F238" i="2" a="1"/>
  <c r="F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F246" i="2" a="1"/>
  <c r="F246" i="2" s="1"/>
  <c r="F247" i="2" a="1"/>
  <c r="F247" i="2" s="1"/>
  <c r="F248" i="2" a="1"/>
  <c r="F248" i="2" s="1"/>
  <c r="F249" i="2" a="1"/>
  <c r="F249" i="2" s="1"/>
  <c r="F250" i="2" a="1"/>
  <c r="F250" i="2" s="1"/>
  <c r="F251" i="2" a="1"/>
  <c r="F251" i="2" s="1"/>
  <c r="F252" i="2" a="1"/>
  <c r="F252" i="2" s="1"/>
  <c r="F253" i="2" a="1"/>
  <c r="F253" i="2" s="1"/>
  <c r="F254" i="2" a="1"/>
  <c r="F254" i="2" s="1"/>
  <c r="F255" i="2" a="1"/>
  <c r="F255" i="2" s="1"/>
  <c r="F256" i="2" a="1"/>
  <c r="F256" i="2" s="1"/>
  <c r="F257" i="2" a="1"/>
  <c r="F257" i="2" s="1"/>
  <c r="F258" i="2" a="1"/>
  <c r="F258" i="2" s="1"/>
  <c r="F259" i="2" a="1"/>
  <c r="F259" i="2" s="1"/>
  <c r="F260" i="2" a="1"/>
  <c r="F260" i="2" s="1"/>
  <c r="F261" i="2" a="1"/>
  <c r="F261" i="2" s="1"/>
  <c r="F262" i="2" a="1"/>
  <c r="F262" i="2" s="1"/>
  <c r="F263" i="2" a="1"/>
  <c r="F263" i="2" s="1"/>
  <c r="F264" i="2" a="1"/>
  <c r="F264" i="2" s="1"/>
  <c r="F265" i="2" a="1"/>
  <c r="F265" i="2" s="1"/>
  <c r="F266" i="2" a="1"/>
  <c r="F266" i="2" s="1"/>
  <c r="F267" i="2" a="1"/>
  <c r="F267" i="2" s="1"/>
  <c r="F268" i="2" a="1"/>
  <c r="F268" i="2" s="1"/>
  <c r="F269" i="2" a="1"/>
  <c r="F269" i="2" s="1"/>
  <c r="F270" i="2" a="1"/>
  <c r="F270" i="2" s="1"/>
  <c r="F271" i="2" a="1"/>
  <c r="F271" i="2" s="1"/>
  <c r="F272" i="2" a="1"/>
  <c r="F272" i="2" s="1"/>
  <c r="F273" i="2" a="1"/>
  <c r="F273" i="2" s="1"/>
  <c r="F274" i="2" a="1"/>
  <c r="F274" i="2" s="1"/>
  <c r="F275" i="2" a="1"/>
  <c r="F275" i="2" s="1"/>
  <c r="F276" i="2" a="1"/>
  <c r="F276" i="2" s="1"/>
  <c r="F277" i="2" a="1"/>
  <c r="F277" i="2" s="1"/>
  <c r="F278" i="2" a="1"/>
  <c r="F278" i="2" s="1"/>
  <c r="F279" i="2" a="1"/>
  <c r="F279" i="2" s="1"/>
  <c r="F280" i="2" a="1"/>
  <c r="F280" i="2" s="1"/>
  <c r="F281" i="2" a="1"/>
  <c r="F281" i="2" s="1"/>
  <c r="F282" i="2" a="1"/>
  <c r="F282" i="2" s="1"/>
  <c r="F283" i="2" a="1"/>
  <c r="F283" i="2" s="1"/>
  <c r="F284" i="2" a="1"/>
  <c r="F284" i="2" s="1"/>
  <c r="F285" i="2" a="1"/>
  <c r="F285" i="2" s="1"/>
  <c r="F286" i="2" a="1"/>
  <c r="F286" i="2" s="1"/>
  <c r="F287" i="2" a="1"/>
  <c r="F287" i="2" s="1"/>
  <c r="F288" i="2" a="1"/>
  <c r="F288" i="2" s="1"/>
  <c r="F289" i="2" a="1"/>
  <c r="F289" i="2" s="1"/>
  <c r="F290" i="2" a="1"/>
  <c r="F290" i="2" s="1"/>
  <c r="F291" i="2" a="1"/>
  <c r="F291" i="2" s="1"/>
  <c r="F292" i="2" a="1"/>
  <c r="F292" i="2" s="1"/>
  <c r="F293" i="2" a="1"/>
  <c r="F293" i="2" s="1"/>
  <c r="F294" i="2" a="1"/>
  <c r="F294" i="2" s="1"/>
  <c r="F295" i="2" a="1"/>
  <c r="F295" i="2" s="1"/>
  <c r="F296" i="2" a="1"/>
  <c r="F296" i="2" s="1"/>
  <c r="F297" i="2" a="1"/>
  <c r="F297" i="2" s="1"/>
  <c r="F298" i="2" a="1"/>
  <c r="F298" i="2" s="1"/>
  <c r="F299" i="2" a="1"/>
  <c r="F299" i="2" s="1"/>
  <c r="F300" i="2" a="1"/>
  <c r="F300" i="2" s="1"/>
  <c r="F301" i="2" a="1"/>
  <c r="F301" i="2" s="1"/>
  <c r="F302" i="2" a="1"/>
  <c r="F302" i="2" s="1"/>
  <c r="F303" i="2" a="1"/>
  <c r="F303" i="2" s="1"/>
  <c r="F304" i="2" a="1"/>
  <c r="F304" i="2" s="1"/>
  <c r="F305" i="2" a="1"/>
  <c r="F305" i="2" s="1"/>
  <c r="F306" i="2" a="1"/>
  <c r="F306" i="2" s="1"/>
  <c r="F307" i="2" a="1"/>
  <c r="F307" i="2" s="1"/>
  <c r="F308" i="2" a="1"/>
  <c r="F308" i="2" s="1"/>
  <c r="F309" i="2" a="1"/>
  <c r="F309" i="2" s="1"/>
  <c r="F310" i="2" a="1"/>
  <c r="F310" i="2" s="1"/>
  <c r="F311" i="2" a="1"/>
  <c r="F311" i="2" s="1"/>
  <c r="F312" i="2" a="1"/>
  <c r="F312" i="2" s="1"/>
  <c r="F313" i="2" a="1"/>
  <c r="F313" i="2" s="1"/>
  <c r="F314" i="2" a="1"/>
  <c r="F314" i="2" s="1"/>
  <c r="F315" i="2" a="1"/>
  <c r="F315" i="2" s="1"/>
  <c r="F316" i="2" a="1"/>
  <c r="F316" i="2" s="1"/>
  <c r="F317" i="2" a="1"/>
  <c r="F317" i="2" s="1"/>
  <c r="F318" i="2" a="1"/>
  <c r="F318" i="2" s="1"/>
  <c r="F319" i="2" a="1"/>
  <c r="F319" i="2" s="1"/>
  <c r="F320" i="2" a="1"/>
  <c r="F320" i="2" s="1"/>
  <c r="F321" i="2" a="1"/>
  <c r="F321" i="2" s="1"/>
  <c r="F322" i="2" a="1"/>
  <c r="F322" i="2" s="1"/>
  <c r="F323" i="2" a="1"/>
  <c r="F323" i="2" s="1"/>
  <c r="F324" i="2" a="1"/>
  <c r="F324" i="2" s="1"/>
  <c r="F325" i="2" a="1"/>
  <c r="F325" i="2" s="1"/>
  <c r="F326" i="2" a="1"/>
  <c r="F326" i="2" s="1"/>
  <c r="F327" i="2" a="1"/>
  <c r="F327" i="2" s="1"/>
  <c r="F328" i="2" a="1"/>
  <c r="F328" i="2" s="1"/>
  <c r="F329" i="2" a="1"/>
  <c r="F329" i="2" s="1"/>
  <c r="F330" i="2" a="1"/>
  <c r="F330" i="2" s="1"/>
  <c r="F331" i="2" a="1"/>
  <c r="F331" i="2" s="1"/>
  <c r="F332" i="2" a="1"/>
  <c r="F332" i="2" s="1"/>
  <c r="F333" i="2" a="1"/>
  <c r="F333" i="2" s="1"/>
  <c r="F334" i="2" a="1"/>
  <c r="F334" i="2" s="1"/>
  <c r="F335" i="2" a="1"/>
  <c r="F335" i="2" s="1"/>
  <c r="F336" i="2" a="1"/>
  <c r="F336" i="2" s="1"/>
  <c r="F337" i="2" a="1"/>
  <c r="F337" i="2" s="1"/>
  <c r="F338" i="2" a="1"/>
  <c r="F338" i="2" s="1"/>
  <c r="F339" i="2" a="1"/>
  <c r="F339" i="2" s="1"/>
  <c r="F340" i="2" a="1"/>
  <c r="F340" i="2" s="1"/>
  <c r="F341" i="2" a="1"/>
  <c r="F341" i="2" s="1"/>
  <c r="F342" i="2" a="1"/>
  <c r="F342" i="2" s="1"/>
  <c r="F343" i="2" a="1"/>
  <c r="F343" i="2" s="1"/>
  <c r="F344" i="2" a="1"/>
  <c r="F344" i="2" s="1"/>
  <c r="F345" i="2" a="1"/>
  <c r="F345" i="2" s="1"/>
  <c r="F346" i="2" a="1"/>
  <c r="F346" i="2" s="1"/>
  <c r="F347" i="2" a="1"/>
  <c r="F347" i="2" s="1"/>
  <c r="F348" i="2" a="1"/>
  <c r="F348" i="2" s="1"/>
  <c r="F349" i="2" a="1"/>
  <c r="F349" i="2" s="1"/>
  <c r="F350" i="2" a="1"/>
  <c r="F350" i="2" s="1"/>
  <c r="F351" i="2" a="1"/>
  <c r="F351" i="2" s="1"/>
  <c r="F352" i="2" a="1"/>
  <c r="F352" i="2" s="1"/>
  <c r="F353" i="2" a="1"/>
  <c r="F353" i="2" s="1"/>
  <c r="F354" i="2" a="1"/>
  <c r="F354" i="2" s="1"/>
  <c r="F355" i="2" a="1"/>
  <c r="F355" i="2" s="1"/>
  <c r="F356" i="2" a="1"/>
  <c r="F356" i="2" s="1"/>
  <c r="F357" i="2" a="1"/>
  <c r="F357" i="2" s="1"/>
  <c r="F358" i="2" a="1"/>
  <c r="F358" i="2" s="1"/>
  <c r="F359" i="2" a="1"/>
  <c r="F359" i="2" s="1"/>
  <c r="F360" i="2" a="1"/>
  <c r="F360" i="2" s="1"/>
  <c r="F361" i="2" a="1"/>
  <c r="F361" i="2" s="1"/>
  <c r="F362" i="2" a="1"/>
  <c r="F362" i="2" s="1"/>
  <c r="F363" i="2" a="1"/>
  <c r="F363" i="2" s="1"/>
  <c r="F364" i="2" a="1"/>
  <c r="F364" i="2" s="1"/>
  <c r="F365" i="2" a="1"/>
  <c r="F365" i="2" s="1"/>
  <c r="F366" i="2" a="1"/>
  <c r="F366" i="2" s="1"/>
  <c r="F367" i="2" a="1"/>
  <c r="F367" i="2" s="1"/>
  <c r="F368" i="2" a="1"/>
  <c r="F368" i="2" s="1"/>
  <c r="F369" i="2" a="1"/>
  <c r="F369" i="2" s="1"/>
  <c r="F370" i="2" a="1"/>
  <c r="F370" i="2" s="1"/>
  <c r="F371" i="2" a="1"/>
  <c r="F371" i="2" s="1"/>
  <c r="F372" i="2" a="1"/>
  <c r="F372" i="2" s="1"/>
  <c r="F373" i="2" a="1"/>
  <c r="F373" i="2" s="1"/>
  <c r="F374" i="2" a="1"/>
  <c r="F374" i="2" s="1"/>
  <c r="F375" i="2" a="1"/>
  <c r="F375" i="2" s="1"/>
  <c r="F376" i="2" a="1"/>
  <c r="F376" i="2" s="1"/>
  <c r="F377" i="2" a="1"/>
  <c r="F377" i="2" s="1"/>
  <c r="F378" i="2" a="1"/>
  <c r="F378" i="2" s="1"/>
  <c r="F379" i="2" a="1"/>
  <c r="F379" i="2" s="1"/>
  <c r="F380" i="2" a="1"/>
  <c r="F380" i="2" s="1"/>
  <c r="F381" i="2" a="1"/>
  <c r="F381" i="2" s="1"/>
  <c r="F382" i="2" a="1"/>
  <c r="F382" i="2" s="1"/>
  <c r="F383" i="2" a="1"/>
  <c r="F383" i="2" s="1"/>
  <c r="F384" i="2" a="1"/>
  <c r="F384" i="2" s="1"/>
  <c r="F385" i="2" a="1"/>
  <c r="F385" i="2" s="1"/>
  <c r="F386" i="2" a="1"/>
  <c r="F386" i="2" s="1"/>
  <c r="F387" i="2" a="1"/>
  <c r="F387" i="2" s="1"/>
  <c r="F388" i="2" a="1"/>
  <c r="F388" i="2" s="1"/>
  <c r="F389" i="2" a="1"/>
  <c r="F389" i="2" s="1"/>
  <c r="F390" i="2" a="1"/>
  <c r="F390" i="2" s="1"/>
  <c r="F391" i="2" a="1"/>
  <c r="F391" i="2" s="1"/>
  <c r="F392" i="2" a="1"/>
  <c r="F392" i="2" s="1"/>
  <c r="F393" i="2" a="1"/>
  <c r="F393" i="2" s="1"/>
  <c r="F394" i="2" a="1"/>
  <c r="F394" i="2" s="1"/>
  <c r="F395" i="2" a="1"/>
  <c r="F395" i="2" s="1"/>
  <c r="F396" i="2" a="1"/>
  <c r="F396" i="2" s="1"/>
  <c r="F397" i="2" a="1"/>
  <c r="F397" i="2" s="1"/>
  <c r="F398" i="2" a="1"/>
  <c r="F398" i="2" s="1"/>
  <c r="F399" i="2" a="1"/>
  <c r="F399" i="2" s="1"/>
  <c r="F400" i="2" a="1"/>
  <c r="F400" i="2" s="1"/>
  <c r="F401" i="2" a="1"/>
  <c r="F401" i="2" s="1"/>
  <c r="F402" i="2" a="1"/>
  <c r="F402" i="2" s="1"/>
  <c r="F403" i="2" a="1"/>
  <c r="F403" i="2" s="1"/>
  <c r="F404" i="2" a="1"/>
  <c r="F404" i="2" s="1"/>
  <c r="F405" i="2" a="1"/>
  <c r="F405" i="2" s="1"/>
  <c r="F406" i="2" a="1"/>
  <c r="F406" i="2" s="1"/>
  <c r="F407" i="2" a="1"/>
  <c r="F407" i="2" s="1"/>
  <c r="F408" i="2" a="1"/>
  <c r="F408" i="2" s="1"/>
  <c r="F409" i="2" a="1"/>
  <c r="F409" i="2" s="1"/>
  <c r="F410" i="2" a="1"/>
  <c r="F410" i="2" s="1"/>
  <c r="F411" i="2" a="1"/>
  <c r="F411" i="2" s="1"/>
  <c r="F412" i="2" a="1"/>
  <c r="F412" i="2" s="1"/>
  <c r="F413" i="2" a="1"/>
  <c r="F413" i="2" s="1"/>
  <c r="F414" i="2" a="1"/>
  <c r="F414" i="2" s="1"/>
  <c r="F415" i="2" a="1"/>
  <c r="F415" i="2" s="1"/>
  <c r="F416" i="2" a="1"/>
  <c r="F416" i="2" s="1"/>
  <c r="F417" i="2" a="1"/>
  <c r="F417" i="2" s="1"/>
  <c r="F418" i="2" a="1"/>
  <c r="F418" i="2" s="1"/>
  <c r="F419" i="2" a="1"/>
  <c r="F419" i="2" s="1"/>
  <c r="F420" i="2" a="1"/>
  <c r="F420" i="2" s="1"/>
  <c r="F421" i="2" a="1"/>
  <c r="F421" i="2" s="1"/>
  <c r="F422" i="2" a="1"/>
  <c r="F422" i="2" s="1"/>
  <c r="F423" i="2" a="1"/>
  <c r="F423" i="2" s="1"/>
  <c r="F424" i="2" a="1"/>
  <c r="F424" i="2" s="1"/>
  <c r="F425" i="2" a="1"/>
  <c r="F425" i="2" s="1"/>
  <c r="F426" i="2" a="1"/>
  <c r="F426" i="2" s="1"/>
  <c r="F427" i="2" a="1"/>
  <c r="F427" i="2" s="1"/>
  <c r="F428" i="2" a="1"/>
  <c r="F428" i="2" s="1"/>
  <c r="F429" i="2" a="1"/>
  <c r="F429" i="2" s="1"/>
  <c r="F430" i="2" a="1"/>
  <c r="F430" i="2" s="1"/>
  <c r="F431" i="2" a="1"/>
  <c r="F431" i="2" s="1"/>
  <c r="F432" i="2" a="1"/>
  <c r="F432" i="2" s="1"/>
  <c r="F433" i="2" a="1"/>
  <c r="F433" i="2" s="1"/>
  <c r="F434" i="2" a="1"/>
  <c r="F434" i="2" s="1"/>
  <c r="F435" i="2" a="1"/>
  <c r="F435" i="2" s="1"/>
  <c r="F436" i="2" a="1"/>
  <c r="F436" i="2" s="1"/>
  <c r="F437" i="2" a="1"/>
  <c r="F437" i="2" s="1"/>
  <c r="F438" i="2" a="1"/>
  <c r="F438" i="2" s="1"/>
  <c r="F439" i="2" a="1"/>
  <c r="F439" i="2" s="1"/>
  <c r="F440" i="2" a="1"/>
  <c r="F440" i="2" s="1"/>
  <c r="F441" i="2" a="1"/>
  <c r="F441" i="2" s="1"/>
  <c r="F442" i="2" a="1"/>
  <c r="F442" i="2" s="1"/>
  <c r="F443" i="2" a="1"/>
  <c r="F443" i="2" s="1"/>
  <c r="F444" i="2" a="1"/>
  <c r="F444" i="2" s="1"/>
  <c r="F445" i="2" a="1"/>
  <c r="F445" i="2" s="1"/>
  <c r="F446" i="2" a="1"/>
  <c r="F446" i="2" s="1"/>
  <c r="F447" i="2" a="1"/>
  <c r="F447" i="2" s="1"/>
  <c r="F448" i="2" a="1"/>
  <c r="F448" i="2" s="1"/>
  <c r="F449" i="2" a="1"/>
  <c r="F449" i="2" s="1"/>
  <c r="F450" i="2" a="1"/>
  <c r="F450" i="2" s="1"/>
  <c r="F451" i="2" a="1"/>
  <c r="F451" i="2" s="1"/>
  <c r="F452" i="2" a="1"/>
  <c r="F452" i="2" s="1"/>
  <c r="F453" i="2" a="1"/>
  <c r="F453" i="2" s="1"/>
  <c r="F454" i="2" a="1"/>
  <c r="F454" i="2" s="1"/>
  <c r="F455" i="2" a="1"/>
  <c r="F455" i="2" s="1"/>
  <c r="F456" i="2" a="1"/>
  <c r="F456" i="2" s="1"/>
  <c r="F457" i="2" a="1"/>
  <c r="F457" i="2" s="1"/>
  <c r="F458" i="2" a="1"/>
  <c r="F458" i="2" s="1"/>
  <c r="F459" i="2" a="1"/>
  <c r="F459" i="2" s="1"/>
  <c r="F460" i="2" a="1"/>
  <c r="F460" i="2" s="1"/>
  <c r="F461" i="2" a="1"/>
  <c r="F461" i="2" s="1"/>
  <c r="F462" i="2" a="1"/>
  <c r="F462" i="2" s="1"/>
  <c r="F463" i="2" a="1"/>
  <c r="F463" i="2" s="1"/>
  <c r="F464" i="2" a="1"/>
  <c r="F464" i="2" s="1"/>
  <c r="F465" i="2" a="1"/>
  <c r="F465" i="2" s="1"/>
  <c r="F466" i="2" a="1"/>
  <c r="F466" i="2" s="1"/>
  <c r="F467" i="2" a="1"/>
  <c r="F467" i="2" s="1"/>
  <c r="F468" i="2" a="1"/>
  <c r="F468" i="2" s="1"/>
  <c r="F469" i="2" a="1"/>
  <c r="F469" i="2" s="1"/>
  <c r="F470" i="2" a="1"/>
  <c r="F470" i="2" s="1"/>
  <c r="F471" i="2" a="1"/>
  <c r="F471" i="2" s="1"/>
  <c r="F472" i="2" a="1"/>
  <c r="F472" i="2" s="1"/>
  <c r="F473" i="2" a="1"/>
  <c r="F473" i="2" s="1"/>
  <c r="F474" i="2" a="1"/>
  <c r="F474" i="2" s="1"/>
  <c r="F475" i="2" a="1"/>
  <c r="F475" i="2" s="1"/>
  <c r="F476" i="2" a="1"/>
  <c r="F476" i="2" s="1"/>
  <c r="F477" i="2" a="1"/>
  <c r="F477" i="2" s="1"/>
  <c r="F478" i="2" a="1"/>
  <c r="F478" i="2" s="1"/>
  <c r="F479" i="2" a="1"/>
  <c r="F479" i="2" s="1"/>
  <c r="F480" i="2" a="1"/>
  <c r="F480" i="2" s="1"/>
  <c r="F481" i="2" a="1"/>
  <c r="F481" i="2" s="1"/>
  <c r="F482" i="2" a="1"/>
  <c r="F482" i="2" s="1"/>
  <c r="F483" i="2" a="1"/>
  <c r="F483" i="2" s="1"/>
  <c r="F484" i="2" a="1"/>
  <c r="F484" i="2" s="1"/>
  <c r="F485" i="2" a="1"/>
  <c r="F485" i="2" s="1"/>
  <c r="F486" i="2" a="1"/>
  <c r="F486" i="2" s="1"/>
  <c r="F487" i="2" a="1"/>
  <c r="F487" i="2" s="1"/>
  <c r="F488" i="2" a="1"/>
  <c r="F488" i="2" s="1"/>
  <c r="F489" i="2" a="1"/>
  <c r="F489" i="2" s="1"/>
  <c r="F490" i="2" a="1"/>
  <c r="F490" i="2" s="1"/>
  <c r="F491" i="2" a="1"/>
  <c r="F491" i="2" s="1"/>
  <c r="F492" i="2" a="1"/>
  <c r="F492" i="2" s="1"/>
  <c r="F493" i="2" a="1"/>
  <c r="F493" i="2" s="1"/>
  <c r="F494" i="2" a="1"/>
  <c r="F494" i="2" s="1"/>
  <c r="F495" i="2" a="1"/>
  <c r="F495" i="2" s="1"/>
  <c r="F496" i="2" a="1"/>
  <c r="F496" i="2" s="1"/>
  <c r="F497" i="2" a="1"/>
  <c r="F497" i="2" s="1"/>
  <c r="F498" i="2" a="1"/>
  <c r="F498" i="2" s="1"/>
  <c r="F499" i="2" a="1"/>
  <c r="F499" i="2" s="1"/>
  <c r="F500" i="2" a="1"/>
  <c r="F500" i="2" s="1"/>
  <c r="F501" i="2" a="1"/>
  <c r="F501" i="2" s="1"/>
  <c r="F502" i="2" a="1"/>
  <c r="F502" i="2" s="1"/>
  <c r="F503" i="2" a="1"/>
  <c r="F503" i="2" s="1"/>
  <c r="F504" i="2" a="1"/>
  <c r="F504" i="2" s="1"/>
  <c r="F505" i="2" a="1"/>
  <c r="F505" i="2" s="1"/>
  <c r="F506" i="2" a="1"/>
  <c r="F506" i="2" s="1"/>
  <c r="F507" i="2" a="1"/>
  <c r="F507" i="2" s="1"/>
  <c r="F508" i="2" a="1"/>
  <c r="F508" i="2" s="1"/>
  <c r="F509" i="2" a="1"/>
  <c r="F509" i="2" s="1"/>
  <c r="F510" i="2" a="1"/>
  <c r="F510" i="2" s="1"/>
  <c r="F511" i="2" a="1"/>
  <c r="F511" i="2" s="1"/>
  <c r="F512" i="2" a="1"/>
  <c r="F512" i="2" s="1"/>
  <c r="F513" i="2" a="1"/>
  <c r="F513" i="2" s="1"/>
  <c r="F514" i="2" a="1"/>
  <c r="F514" i="2" s="1"/>
  <c r="F515" i="2" a="1"/>
  <c r="F515" i="2" s="1"/>
  <c r="F516" i="2" a="1"/>
  <c r="F516" i="2" s="1"/>
  <c r="F517" i="2" a="1"/>
  <c r="F517" i="2" s="1"/>
  <c r="F518" i="2" a="1"/>
  <c r="F518" i="2" s="1"/>
  <c r="F519" i="2" a="1"/>
  <c r="F519" i="2" s="1"/>
  <c r="F520" i="2" a="1"/>
  <c r="F520" i="2" s="1"/>
  <c r="F521" i="2" a="1"/>
  <c r="F521" i="2" s="1"/>
  <c r="F522" i="2" a="1"/>
  <c r="F522" i="2" s="1"/>
  <c r="F523" i="2" a="1"/>
  <c r="F523" i="2" s="1"/>
  <c r="F524" i="2" a="1"/>
  <c r="F524" i="2" s="1"/>
  <c r="F525" i="2" a="1"/>
  <c r="F525" i="2" s="1"/>
  <c r="F526" i="2" a="1"/>
  <c r="F526" i="2" s="1"/>
  <c r="F527" i="2" a="1"/>
  <c r="F527" i="2" s="1"/>
  <c r="F528" i="2" a="1"/>
  <c r="F528" i="2" s="1"/>
  <c r="F529" i="2" a="1"/>
  <c r="F529" i="2" s="1"/>
  <c r="F530" i="2" a="1"/>
  <c r="F530" i="2" s="1"/>
  <c r="F531" i="2" a="1"/>
  <c r="F531" i="2" s="1"/>
  <c r="F532" i="2" a="1"/>
  <c r="F532" i="2" s="1"/>
  <c r="F533" i="2" a="1"/>
  <c r="F533" i="2" s="1"/>
  <c r="F534" i="2" a="1"/>
  <c r="F534" i="2" s="1"/>
  <c r="F535" i="2" a="1"/>
  <c r="F535" i="2" s="1"/>
  <c r="F536" i="2" a="1"/>
  <c r="F536" i="2" s="1"/>
  <c r="F537" i="2" a="1"/>
  <c r="F537" i="2" s="1"/>
  <c r="F538" i="2" a="1"/>
  <c r="F538" i="2" s="1"/>
  <c r="F539" i="2" a="1"/>
  <c r="F539" i="2" s="1"/>
  <c r="F540" i="2" a="1"/>
  <c r="F540" i="2" s="1"/>
  <c r="F541" i="2" a="1"/>
  <c r="F541" i="2" s="1"/>
  <c r="F542" i="2" a="1"/>
  <c r="F542" i="2" s="1"/>
  <c r="F543" i="2" a="1"/>
  <c r="F543" i="2" s="1"/>
  <c r="F544" i="2" a="1"/>
  <c r="F544" i="2" s="1"/>
  <c r="F545" i="2" a="1"/>
  <c r="F545" i="2" s="1"/>
  <c r="F546" i="2" a="1"/>
  <c r="F546" i="2" s="1"/>
  <c r="F547" i="2" a="1"/>
  <c r="F547" i="2" s="1"/>
  <c r="F548" i="2" a="1"/>
  <c r="F548" i="2" s="1"/>
  <c r="F549" i="2" a="1"/>
  <c r="F549" i="2" s="1"/>
  <c r="F550" i="2" a="1"/>
  <c r="F550" i="2" s="1"/>
  <c r="F551" i="2" a="1"/>
  <c r="F551" i="2" s="1"/>
  <c r="F552" i="2" a="1"/>
  <c r="F552" i="2" s="1"/>
  <c r="F553" i="2" a="1"/>
  <c r="F553" i="2" s="1"/>
  <c r="F554" i="2" a="1"/>
  <c r="F554" i="2" s="1"/>
  <c r="F555" i="2" a="1"/>
  <c r="F555" i="2" s="1"/>
  <c r="F556" i="2" a="1"/>
  <c r="F556" i="2" s="1"/>
  <c r="F557" i="2" a="1"/>
  <c r="F557" i="2" s="1"/>
  <c r="F558" i="2" a="1"/>
  <c r="F558" i="2" s="1"/>
  <c r="F559" i="2" a="1"/>
  <c r="F559" i="2" s="1"/>
  <c r="F560" i="2" a="1"/>
  <c r="F560" i="2" s="1"/>
  <c r="F561" i="2" a="1"/>
  <c r="F561" i="2" s="1"/>
  <c r="F562" i="2" a="1"/>
  <c r="F562" i="2" s="1"/>
  <c r="F563" i="2" a="1"/>
  <c r="F563" i="2" s="1"/>
  <c r="F564" i="2" a="1"/>
  <c r="F564" i="2" s="1"/>
  <c r="F565" i="2" a="1"/>
  <c r="F565" i="2" s="1"/>
  <c r="F566" i="2" a="1"/>
  <c r="F566" i="2" s="1"/>
  <c r="F567" i="2" a="1"/>
  <c r="F567" i="2" s="1"/>
  <c r="F568" i="2" a="1"/>
  <c r="F568" i="2" s="1"/>
  <c r="F569" i="2" a="1"/>
  <c r="F569" i="2" s="1"/>
  <c r="F570" i="2" a="1"/>
  <c r="F570" i="2" s="1"/>
  <c r="F571" i="2" a="1"/>
  <c r="F571" i="2" s="1"/>
  <c r="F572" i="2" a="1"/>
  <c r="F572" i="2" s="1"/>
  <c r="F573" i="2" a="1"/>
  <c r="F573" i="2" s="1"/>
  <c r="F574" i="2" a="1"/>
  <c r="F574" i="2" s="1"/>
  <c r="F575" i="2" a="1"/>
  <c r="F575" i="2" s="1"/>
  <c r="F576" i="2" a="1"/>
  <c r="F576" i="2" s="1"/>
  <c r="F577" i="2" a="1"/>
  <c r="F577" i="2" s="1"/>
  <c r="F578" i="2" a="1"/>
  <c r="F578" i="2" s="1"/>
  <c r="F579" i="2" a="1"/>
  <c r="F579" i="2" s="1"/>
  <c r="F580" i="2" a="1"/>
  <c r="F580" i="2" s="1"/>
  <c r="F581" i="2" a="1"/>
  <c r="F581" i="2" s="1"/>
  <c r="F582" i="2" a="1"/>
  <c r="F582" i="2" s="1"/>
  <c r="F583" i="2" a="1"/>
  <c r="F583" i="2" s="1"/>
  <c r="F584" i="2" a="1"/>
  <c r="F584" i="2" s="1"/>
  <c r="F585" i="2" a="1"/>
  <c r="F585" i="2" s="1"/>
  <c r="F586" i="2" a="1"/>
  <c r="F586" i="2" s="1"/>
  <c r="F587" i="2" a="1"/>
  <c r="F587" i="2" s="1"/>
  <c r="F588" i="2" a="1"/>
  <c r="F588" i="2" s="1"/>
  <c r="F589" i="2" a="1"/>
  <c r="F589" i="2" s="1"/>
  <c r="F590" i="2" a="1"/>
  <c r="F590" i="2" s="1"/>
  <c r="F591" i="2" a="1"/>
  <c r="F591" i="2" s="1"/>
  <c r="F592" i="2" a="1"/>
  <c r="F592" i="2" s="1"/>
  <c r="F593" i="2" a="1"/>
  <c r="F593" i="2" s="1"/>
  <c r="F594" i="2" a="1"/>
  <c r="F594" i="2" s="1"/>
  <c r="F595" i="2" a="1"/>
  <c r="F595" i="2" s="1"/>
  <c r="F596" i="2" a="1"/>
  <c r="F596" i="2" s="1"/>
  <c r="F597" i="2" a="1"/>
  <c r="F597" i="2" s="1"/>
  <c r="F598" i="2" a="1"/>
  <c r="F598" i="2" s="1"/>
  <c r="F599" i="2" a="1"/>
  <c r="F599" i="2" s="1"/>
  <c r="F600" i="2" a="1"/>
  <c r="F600" i="2" s="1"/>
  <c r="F601" i="2" a="1"/>
  <c r="F601" i="2" s="1"/>
  <c r="F602" i="2" a="1"/>
  <c r="F602" i="2" s="1"/>
  <c r="F603" i="2" a="1"/>
  <c r="F603" i="2" s="1"/>
  <c r="F604" i="2" a="1"/>
  <c r="F604" i="2" s="1"/>
  <c r="F605" i="2" a="1"/>
  <c r="F605" i="2" s="1"/>
  <c r="F606" i="2" a="1"/>
  <c r="F606" i="2" s="1"/>
  <c r="F607" i="2" a="1"/>
  <c r="F607" i="2" s="1"/>
  <c r="F608" i="2" a="1"/>
  <c r="F608" i="2" s="1"/>
  <c r="F609" i="2" a="1"/>
  <c r="F609" i="2" s="1"/>
  <c r="F610" i="2" a="1"/>
  <c r="F610" i="2" s="1"/>
  <c r="F611" i="2" a="1"/>
  <c r="F611" i="2" s="1"/>
  <c r="F612" i="2" a="1"/>
  <c r="F612" i="2" s="1"/>
  <c r="F613" i="2" a="1"/>
  <c r="F613" i="2" s="1"/>
  <c r="F614" i="2" a="1"/>
  <c r="F614" i="2" s="1"/>
  <c r="F615" i="2" a="1"/>
  <c r="F615" i="2" s="1"/>
  <c r="F616" i="2" a="1"/>
  <c r="F616" i="2" s="1"/>
  <c r="F617" i="2" a="1"/>
  <c r="F617" i="2" s="1"/>
  <c r="F618" i="2" a="1"/>
  <c r="F618" i="2" s="1"/>
  <c r="F619" i="2" a="1"/>
  <c r="F619" i="2" s="1"/>
  <c r="F620" i="2" a="1"/>
  <c r="F620" i="2" s="1"/>
  <c r="F621" i="2" a="1"/>
  <c r="F621" i="2" s="1"/>
  <c r="F622" i="2" a="1"/>
  <c r="F622" i="2" s="1"/>
  <c r="F623" i="2" a="1"/>
  <c r="F623" i="2" s="1"/>
  <c r="F624" i="2" a="1"/>
  <c r="F624" i="2" s="1"/>
  <c r="F625" i="2" a="1"/>
  <c r="F625" i="2" s="1"/>
  <c r="F626" i="2" a="1"/>
  <c r="F626" i="2" s="1"/>
  <c r="F627" i="2" a="1"/>
  <c r="F627" i="2" s="1"/>
  <c r="F628" i="2" a="1"/>
  <c r="F628" i="2" s="1"/>
  <c r="F629" i="2" a="1"/>
  <c r="F629" i="2" s="1"/>
  <c r="F630" i="2" a="1"/>
  <c r="F630" i="2" s="1"/>
  <c r="F631" i="2" a="1"/>
  <c r="F631" i="2" s="1"/>
  <c r="F632" i="2" a="1"/>
  <c r="F632" i="2" s="1"/>
  <c r="F633" i="2" a="1"/>
  <c r="F633" i="2" s="1"/>
  <c r="F634" i="2" a="1"/>
  <c r="F634" i="2" s="1"/>
  <c r="F635" i="2" a="1"/>
  <c r="F635" i="2" s="1"/>
  <c r="F636" i="2" a="1"/>
  <c r="F636" i="2" s="1"/>
  <c r="F637" i="2" a="1"/>
  <c r="F637" i="2" s="1"/>
  <c r="F638" i="2" a="1"/>
  <c r="F638" i="2" s="1"/>
  <c r="F639" i="2" a="1"/>
  <c r="F639" i="2" s="1"/>
  <c r="F640" i="2" a="1"/>
  <c r="F640" i="2" s="1"/>
  <c r="F641" i="2" a="1"/>
  <c r="F641" i="2" s="1"/>
  <c r="F642" i="2" a="1"/>
  <c r="F642" i="2" s="1"/>
  <c r="F643" i="2" a="1"/>
  <c r="F643" i="2" s="1"/>
  <c r="F644" i="2" a="1"/>
  <c r="F644" i="2" s="1"/>
  <c r="F645" i="2" a="1"/>
  <c r="F645" i="2" s="1"/>
  <c r="F646" i="2" a="1"/>
  <c r="F646" i="2" s="1"/>
  <c r="F647" i="2" a="1"/>
  <c r="F647" i="2" s="1"/>
  <c r="F648" i="2" a="1"/>
  <c r="F648" i="2" s="1"/>
  <c r="F649" i="2" a="1"/>
  <c r="F649" i="2" s="1"/>
  <c r="F650" i="2" a="1"/>
  <c r="F650" i="2" s="1"/>
  <c r="F651" i="2" a="1"/>
  <c r="F651" i="2" s="1"/>
  <c r="F652" i="2" a="1"/>
  <c r="F652" i="2" s="1"/>
  <c r="F653" i="2" a="1"/>
  <c r="F653" i="2" s="1"/>
  <c r="F654" i="2" a="1"/>
  <c r="F654" i="2" s="1"/>
  <c r="F655" i="2" a="1"/>
  <c r="F655" i="2" s="1"/>
  <c r="F656" i="2" a="1"/>
  <c r="F656" i="2" s="1"/>
  <c r="F657" i="2" a="1"/>
  <c r="F657" i="2" s="1"/>
  <c r="F658" i="2" a="1"/>
  <c r="F658" i="2" s="1"/>
  <c r="F659" i="2" a="1"/>
  <c r="F659" i="2" s="1"/>
  <c r="F660" i="2" a="1"/>
  <c r="F660" i="2" s="1"/>
  <c r="F661" i="2" a="1"/>
  <c r="F661" i="2" s="1"/>
  <c r="F662" i="2" a="1"/>
  <c r="F662" i="2" s="1"/>
  <c r="F663" i="2" a="1"/>
  <c r="F663" i="2" s="1"/>
  <c r="F664" i="2" a="1"/>
  <c r="F664" i="2" s="1"/>
  <c r="F665" i="2" a="1"/>
  <c r="F665" i="2" s="1"/>
  <c r="F666" i="2" a="1"/>
  <c r="F666" i="2" s="1"/>
  <c r="F667" i="2" a="1"/>
  <c r="F667" i="2" s="1"/>
  <c r="F668" i="2" a="1"/>
  <c r="F668" i="2" s="1"/>
  <c r="F669" i="2" a="1"/>
  <c r="F669" i="2" s="1"/>
  <c r="F670" i="2" a="1"/>
  <c r="F670" i="2" s="1"/>
  <c r="F671" i="2" a="1"/>
  <c r="F671" i="2" s="1"/>
  <c r="F672" i="2" a="1"/>
  <c r="F672" i="2" s="1"/>
  <c r="F673" i="2" a="1"/>
  <c r="F673" i="2" s="1"/>
  <c r="F674" i="2" a="1"/>
  <c r="F674" i="2" s="1"/>
  <c r="F675" i="2" a="1"/>
  <c r="F675" i="2" s="1"/>
  <c r="F676" i="2" a="1"/>
  <c r="F676" i="2" s="1"/>
  <c r="F677" i="2" a="1"/>
  <c r="F677" i="2" s="1"/>
  <c r="F678" i="2" a="1"/>
  <c r="F678" i="2" s="1"/>
  <c r="F679" i="2" a="1"/>
  <c r="F679" i="2" s="1"/>
  <c r="F680" i="2" a="1"/>
  <c r="F680" i="2" s="1"/>
  <c r="F681" i="2" a="1"/>
  <c r="F681" i="2" s="1"/>
  <c r="F682" i="2" a="1"/>
  <c r="F682" i="2" s="1"/>
  <c r="F683" i="2" a="1"/>
  <c r="F683" i="2" s="1"/>
  <c r="F684" i="2" a="1"/>
  <c r="F684" i="2" s="1"/>
  <c r="F685" i="2" a="1"/>
  <c r="F685" i="2" s="1"/>
  <c r="F686" i="2" a="1"/>
  <c r="F686" i="2" s="1"/>
  <c r="F687" i="2" a="1"/>
  <c r="F687" i="2" s="1"/>
  <c r="F688" i="2" a="1"/>
  <c r="F688" i="2" s="1"/>
  <c r="F689" i="2" a="1"/>
  <c r="F689" i="2" s="1"/>
  <c r="F690" i="2" a="1"/>
  <c r="F690" i="2" s="1"/>
  <c r="F691" i="2" a="1"/>
  <c r="F691" i="2" s="1"/>
  <c r="F692" i="2" a="1"/>
  <c r="F692" i="2" s="1"/>
  <c r="F693" i="2" a="1"/>
  <c r="F693" i="2" s="1"/>
  <c r="F694" i="2" a="1"/>
  <c r="F694" i="2" s="1"/>
  <c r="F695" i="2" a="1"/>
  <c r="F695" i="2" s="1"/>
  <c r="F696" i="2" a="1"/>
  <c r="F696" i="2" s="1"/>
  <c r="F697" i="2" a="1"/>
  <c r="F697" i="2" s="1"/>
  <c r="F698" i="2" a="1"/>
  <c r="F698" i="2" s="1"/>
  <c r="F699" i="2" a="1"/>
  <c r="F699" i="2" s="1"/>
  <c r="F700" i="2" a="1"/>
  <c r="F700" i="2" s="1"/>
  <c r="F701" i="2" a="1"/>
  <c r="F701" i="2" s="1"/>
  <c r="F702" i="2" a="1"/>
  <c r="F702" i="2" s="1"/>
  <c r="F703" i="2" a="1"/>
  <c r="F703" i="2" s="1"/>
  <c r="F704" i="2" a="1"/>
  <c r="F704" i="2" s="1"/>
  <c r="F705" i="2" a="1"/>
  <c r="F705" i="2" s="1"/>
  <c r="F706" i="2" a="1"/>
  <c r="F706" i="2" s="1"/>
  <c r="F707" i="2" a="1"/>
  <c r="F707" i="2" s="1"/>
  <c r="F708" i="2" a="1"/>
  <c r="F708" i="2" s="1"/>
  <c r="F709" i="2" a="1"/>
  <c r="F709" i="2" s="1"/>
  <c r="F710" i="2" a="1"/>
  <c r="F710" i="2" s="1"/>
  <c r="F711" i="2" a="1"/>
  <c r="F711" i="2" s="1"/>
  <c r="F712" i="2" a="1"/>
  <c r="F712" i="2" s="1"/>
  <c r="F713" i="2" a="1"/>
  <c r="F713" i="2" s="1"/>
  <c r="F714" i="2" a="1"/>
  <c r="F714" i="2" s="1"/>
  <c r="F715" i="2" a="1"/>
  <c r="F715" i="2" s="1"/>
  <c r="F716" i="2" a="1"/>
  <c r="F716" i="2" s="1"/>
  <c r="F717" i="2" a="1"/>
  <c r="F717" i="2" s="1"/>
  <c r="F718" i="2" a="1"/>
  <c r="F718" i="2" s="1"/>
  <c r="F719" i="2" a="1"/>
  <c r="F719" i="2" s="1"/>
  <c r="F720" i="2" a="1"/>
  <c r="F720" i="2" s="1"/>
  <c r="F721" i="2" a="1"/>
  <c r="F721" i="2" s="1"/>
  <c r="F722" i="2" a="1"/>
  <c r="F722" i="2" s="1"/>
  <c r="F723" i="2" a="1"/>
  <c r="F723" i="2" s="1"/>
  <c r="F724" i="2" a="1"/>
  <c r="F724" i="2" s="1"/>
  <c r="F725" i="2" a="1"/>
  <c r="F725" i="2" s="1"/>
  <c r="F726" i="2" a="1"/>
  <c r="F726" i="2" s="1"/>
  <c r="F727" i="2" a="1"/>
  <c r="F727" i="2" s="1"/>
  <c r="F728" i="2" a="1"/>
  <c r="F728" i="2" s="1"/>
  <c r="F729" i="2" a="1"/>
  <c r="F729" i="2" s="1"/>
  <c r="F730" i="2" a="1"/>
  <c r="F730" i="2" s="1"/>
  <c r="F731" i="2" a="1"/>
  <c r="F731" i="2" s="1"/>
  <c r="F732" i="2" a="1"/>
  <c r="F732" i="2" s="1"/>
  <c r="F733" i="2" a="1"/>
  <c r="F733" i="2" s="1"/>
  <c r="F734" i="2" a="1"/>
  <c r="F734" i="2" s="1"/>
  <c r="F735" i="2" a="1"/>
  <c r="F735" i="2" s="1"/>
  <c r="F736" i="2" a="1"/>
  <c r="F736" i="2" s="1"/>
  <c r="F737" i="2" a="1"/>
  <c r="F737" i="2" s="1"/>
  <c r="F738" i="2" a="1"/>
  <c r="F738" i="2" s="1"/>
  <c r="F739" i="2" a="1"/>
  <c r="F739" i="2" s="1"/>
  <c r="F740" i="2" a="1"/>
  <c r="F740" i="2" s="1"/>
  <c r="F741" i="2" a="1"/>
  <c r="F741" i="2" s="1"/>
  <c r="F742" i="2" a="1"/>
  <c r="F742" i="2" s="1"/>
  <c r="F743" i="2" a="1"/>
  <c r="F743" i="2" s="1"/>
  <c r="F744" i="2" a="1"/>
  <c r="F744" i="2" s="1"/>
  <c r="F745" i="2" a="1"/>
  <c r="F745" i="2" s="1"/>
  <c r="F746" i="2" a="1"/>
  <c r="F746" i="2" s="1"/>
  <c r="F747" i="2" a="1"/>
  <c r="F747" i="2" s="1"/>
  <c r="F748" i="2" a="1"/>
  <c r="F748" i="2" s="1"/>
  <c r="F749" i="2" a="1"/>
  <c r="F749" i="2" s="1"/>
  <c r="F750" i="2" a="1"/>
  <c r="F750" i="2" s="1"/>
  <c r="F751" i="2" a="1"/>
  <c r="F751" i="2" s="1"/>
  <c r="F752" i="2" a="1"/>
  <c r="F752" i="2" s="1"/>
  <c r="F753" i="2" a="1"/>
  <c r="F753" i="2" s="1"/>
  <c r="F754" i="2" a="1"/>
  <c r="F754" i="2" s="1"/>
  <c r="F755" i="2" a="1"/>
  <c r="F755" i="2" s="1"/>
  <c r="F756" i="2" a="1"/>
  <c r="F756" i="2" s="1"/>
  <c r="F757" i="2" a="1"/>
  <c r="F757" i="2" s="1"/>
  <c r="F758" i="2" a="1"/>
  <c r="F758" i="2" s="1"/>
  <c r="F759" i="2" a="1"/>
  <c r="F759" i="2" s="1"/>
  <c r="F760" i="2" a="1"/>
  <c r="F760" i="2" s="1"/>
  <c r="F761" i="2" a="1"/>
  <c r="F761" i="2" s="1"/>
  <c r="F762" i="2" a="1"/>
  <c r="F762" i="2" s="1"/>
  <c r="F763" i="2" a="1"/>
  <c r="F763" i="2" s="1"/>
  <c r="F764" i="2" a="1"/>
  <c r="F764" i="2" s="1"/>
  <c r="F765" i="2" a="1"/>
  <c r="F765" i="2" s="1"/>
  <c r="F766" i="2" a="1"/>
  <c r="F766" i="2" s="1"/>
  <c r="F767" i="2" a="1"/>
  <c r="F767" i="2" s="1"/>
  <c r="F768" i="2" a="1"/>
  <c r="F768" i="2" s="1"/>
  <c r="F769" i="2" a="1"/>
  <c r="F769" i="2" s="1"/>
  <c r="F770" i="2" a="1"/>
  <c r="F770" i="2" s="1"/>
  <c r="F771" i="2" a="1"/>
  <c r="F771" i="2" s="1"/>
  <c r="F772" i="2" a="1"/>
  <c r="F772" i="2" s="1"/>
  <c r="F773" i="2" a="1"/>
  <c r="F773" i="2" s="1"/>
  <c r="F774" i="2" a="1"/>
  <c r="F774" i="2" s="1"/>
  <c r="F775" i="2" a="1"/>
  <c r="F775" i="2" s="1"/>
  <c r="F776" i="2" a="1"/>
  <c r="F776" i="2" s="1"/>
  <c r="F777" i="2" a="1"/>
  <c r="F777" i="2" s="1"/>
  <c r="F778" i="2" a="1"/>
  <c r="F778" i="2" s="1"/>
  <c r="F779" i="2" a="1"/>
  <c r="F779" i="2" s="1"/>
  <c r="F780" i="2" a="1"/>
  <c r="F780" i="2" s="1"/>
  <c r="F781" i="2" a="1"/>
  <c r="F781" i="2" s="1"/>
  <c r="F782" i="2" a="1"/>
  <c r="F782" i="2" s="1"/>
  <c r="F783" i="2" a="1"/>
  <c r="F783" i="2" s="1"/>
  <c r="F784" i="2" a="1"/>
  <c r="F784" i="2" s="1"/>
  <c r="F785" i="2" a="1"/>
  <c r="F785" i="2" s="1"/>
  <c r="F786" i="2" a="1"/>
  <c r="F786" i="2" s="1"/>
  <c r="F787" i="2" a="1"/>
  <c r="F787" i="2" s="1"/>
  <c r="F788" i="2" a="1"/>
  <c r="F788" i="2" s="1"/>
  <c r="F789" i="2" a="1"/>
  <c r="F789" i="2" s="1"/>
  <c r="F790" i="2" a="1"/>
  <c r="F790" i="2" s="1"/>
  <c r="F791" i="2" a="1"/>
  <c r="F791" i="2" s="1"/>
  <c r="F792" i="2" a="1"/>
  <c r="F792" i="2" s="1"/>
  <c r="F793" i="2" a="1"/>
  <c r="F793" i="2" s="1"/>
  <c r="F794" i="2" a="1"/>
  <c r="F794" i="2" s="1"/>
  <c r="F795" i="2" a="1"/>
  <c r="F795" i="2" s="1"/>
  <c r="F796" i="2" a="1"/>
  <c r="F796" i="2" s="1"/>
  <c r="F797" i="2" a="1"/>
  <c r="F797" i="2" s="1"/>
  <c r="F798" i="2" a="1"/>
  <c r="F798" i="2" s="1"/>
  <c r="F799" i="2" a="1"/>
  <c r="F799" i="2" s="1"/>
  <c r="F800" i="2" a="1"/>
  <c r="F800" i="2" s="1"/>
  <c r="F801" i="2" a="1"/>
  <c r="F801" i="2" s="1"/>
  <c r="F802" i="2" a="1"/>
  <c r="F802" i="2" s="1"/>
  <c r="F803" i="2" a="1"/>
  <c r="F803" i="2" s="1"/>
  <c r="F804" i="2" a="1"/>
  <c r="F804" i="2" s="1"/>
  <c r="F805" i="2" a="1"/>
  <c r="F805" i="2" s="1"/>
  <c r="F806" i="2" a="1"/>
  <c r="F806" i="2" s="1"/>
  <c r="F807" i="2" a="1"/>
  <c r="F807" i="2" s="1"/>
  <c r="F808" i="2" a="1"/>
  <c r="F808" i="2" s="1"/>
  <c r="F809" i="2" a="1"/>
  <c r="F809" i="2" s="1"/>
  <c r="F810" i="2" a="1"/>
  <c r="F810" i="2" s="1"/>
  <c r="F811" i="2" a="1"/>
  <c r="F811" i="2" s="1"/>
  <c r="F812" i="2" a="1"/>
  <c r="F812" i="2" s="1"/>
  <c r="F813" i="2" a="1"/>
  <c r="F813" i="2" s="1"/>
  <c r="F814" i="2" a="1"/>
  <c r="F814" i="2" s="1"/>
  <c r="F815" i="2" a="1"/>
  <c r="F815" i="2" s="1"/>
  <c r="F816" i="2" a="1"/>
  <c r="F816" i="2" s="1"/>
  <c r="F817" i="2" a="1"/>
  <c r="F817" i="2" s="1"/>
  <c r="F818" i="2" a="1"/>
  <c r="F818" i="2" s="1"/>
  <c r="F819" i="2" a="1"/>
  <c r="F819" i="2" s="1"/>
  <c r="F820" i="2" a="1"/>
  <c r="F820" i="2" s="1"/>
  <c r="F821" i="2" a="1"/>
  <c r="F821" i="2" s="1"/>
  <c r="F822" i="2" a="1"/>
  <c r="F822" i="2" s="1"/>
  <c r="F823" i="2" a="1"/>
  <c r="F823" i="2" s="1"/>
  <c r="F824" i="2" a="1"/>
  <c r="F824" i="2" s="1"/>
  <c r="F825" i="2" a="1"/>
  <c r="F825" i="2" s="1"/>
  <c r="F826" i="2" a="1"/>
  <c r="F826" i="2" s="1"/>
  <c r="F827" i="2" a="1"/>
  <c r="F827" i="2" s="1"/>
  <c r="F828" i="2" a="1"/>
  <c r="F828" i="2" s="1"/>
  <c r="F829" i="2" a="1"/>
  <c r="F829" i="2" s="1"/>
  <c r="F830" i="2" a="1"/>
  <c r="F830" i="2" s="1"/>
  <c r="F831" i="2" a="1"/>
  <c r="F831" i="2" s="1"/>
  <c r="F832" i="2" a="1"/>
  <c r="F832" i="2" s="1"/>
  <c r="F833" i="2" a="1"/>
  <c r="F833" i="2" s="1"/>
  <c r="F834" i="2" a="1"/>
  <c r="F834" i="2" s="1"/>
  <c r="F835" i="2" a="1"/>
  <c r="F835" i="2" s="1"/>
  <c r="F836" i="2" a="1"/>
  <c r="F836" i="2" s="1"/>
  <c r="F837" i="2" a="1"/>
  <c r="F837" i="2" s="1"/>
  <c r="F838" i="2" a="1"/>
  <c r="F838" i="2" s="1"/>
  <c r="F839" i="2" a="1"/>
  <c r="F839" i="2" s="1"/>
  <c r="F840" i="2" a="1"/>
  <c r="F840" i="2" s="1"/>
  <c r="F841" i="2" a="1"/>
  <c r="F841" i="2" s="1"/>
  <c r="F842" i="2" a="1"/>
  <c r="F842" i="2" s="1"/>
  <c r="F843" i="2" a="1"/>
  <c r="F843" i="2" s="1"/>
  <c r="F844" i="2" a="1"/>
  <c r="F844" i="2" s="1"/>
  <c r="F845" i="2" a="1"/>
  <c r="F845" i="2" s="1"/>
  <c r="F846" i="2" a="1"/>
  <c r="F846" i="2" s="1"/>
  <c r="F847" i="2" a="1"/>
  <c r="F847" i="2" s="1"/>
  <c r="F848" i="2" a="1"/>
  <c r="F848" i="2" s="1"/>
  <c r="F849" i="2" a="1"/>
  <c r="F849" i="2" s="1"/>
  <c r="F850" i="2" a="1"/>
  <c r="F850" i="2" s="1"/>
  <c r="F851" i="2" a="1"/>
  <c r="F851" i="2" s="1"/>
  <c r="F852" i="2" a="1"/>
  <c r="F852" i="2" s="1"/>
  <c r="F853" i="2" a="1"/>
  <c r="F853" i="2" s="1"/>
  <c r="F854" i="2" a="1"/>
  <c r="F854" i="2" s="1"/>
  <c r="F855" i="2" a="1"/>
  <c r="F855" i="2" s="1"/>
  <c r="F856" i="2" a="1"/>
  <c r="F856" i="2" s="1"/>
  <c r="F857" i="2" a="1"/>
  <c r="F857" i="2" s="1"/>
  <c r="F858" i="2" a="1"/>
  <c r="F858" i="2" s="1"/>
  <c r="F859" i="2" a="1"/>
  <c r="F859" i="2" s="1"/>
  <c r="F860" i="2" a="1"/>
  <c r="F860" i="2" s="1"/>
  <c r="F861" i="2" a="1"/>
  <c r="F861" i="2" s="1"/>
  <c r="F862" i="2" a="1"/>
  <c r="F862" i="2" s="1"/>
  <c r="F863" i="2" a="1"/>
  <c r="F863" i="2" s="1"/>
  <c r="F864" i="2" a="1"/>
  <c r="F864" i="2" s="1"/>
  <c r="F865" i="2" a="1"/>
  <c r="F865" i="2" s="1"/>
  <c r="F866" i="2" a="1"/>
  <c r="F866" i="2" s="1"/>
  <c r="F867" i="2" a="1"/>
  <c r="F867" i="2" s="1"/>
  <c r="F868" i="2" a="1"/>
  <c r="F868" i="2" s="1"/>
  <c r="F869" i="2" a="1"/>
  <c r="F869" i="2" s="1"/>
  <c r="F870" i="2" a="1"/>
  <c r="F870" i="2" s="1"/>
  <c r="F871" i="2" a="1"/>
  <c r="F871" i="2" s="1"/>
  <c r="F872" i="2" a="1"/>
  <c r="F872" i="2" s="1"/>
  <c r="F873" i="2" a="1"/>
  <c r="F873" i="2" s="1"/>
  <c r="F874" i="2" a="1"/>
  <c r="F874" i="2" s="1"/>
  <c r="F875" i="2" a="1"/>
  <c r="F875" i="2" s="1"/>
  <c r="F876" i="2" a="1"/>
  <c r="F876" i="2" s="1"/>
  <c r="F877" i="2" a="1"/>
  <c r="F877" i="2" s="1"/>
  <c r="F878" i="2" a="1"/>
  <c r="F878" i="2" s="1"/>
  <c r="F879" i="2" a="1"/>
  <c r="F879" i="2" s="1"/>
  <c r="F880" i="2" a="1"/>
  <c r="F880" i="2" s="1"/>
  <c r="F881" i="2" a="1"/>
  <c r="F881" i="2" s="1"/>
  <c r="F882" i="2" a="1"/>
  <c r="F882" i="2" s="1"/>
  <c r="F883" i="2" a="1"/>
  <c r="F883" i="2" s="1"/>
  <c r="F884" i="2" a="1"/>
  <c r="F884" i="2" s="1"/>
  <c r="F885" i="2" a="1"/>
  <c r="F885" i="2" s="1"/>
  <c r="F886" i="2" a="1"/>
  <c r="F886" i="2" s="1"/>
  <c r="F887" i="2" a="1"/>
  <c r="F887" i="2" s="1"/>
  <c r="F888" i="2" a="1"/>
  <c r="F888" i="2" s="1"/>
  <c r="F889" i="2" a="1"/>
  <c r="F889" i="2" s="1"/>
  <c r="F890" i="2" a="1"/>
  <c r="F890" i="2" s="1"/>
  <c r="F891" i="2" a="1"/>
  <c r="F891" i="2" s="1"/>
  <c r="F892" i="2" a="1"/>
  <c r="F892" i="2" s="1"/>
  <c r="F893" i="2" a="1"/>
  <c r="F893" i="2" s="1"/>
  <c r="F894" i="2" a="1"/>
  <c r="F894" i="2" s="1"/>
  <c r="F895" i="2" a="1"/>
  <c r="F895" i="2" s="1"/>
  <c r="F896" i="2" a="1"/>
  <c r="F896" i="2" s="1"/>
  <c r="F897" i="2" a="1"/>
  <c r="F897" i="2" s="1"/>
  <c r="F898" i="2" a="1"/>
  <c r="F898" i="2" s="1"/>
  <c r="F899" i="2" a="1"/>
  <c r="F899" i="2" s="1"/>
  <c r="F900" i="2" a="1"/>
  <c r="F900" i="2" s="1"/>
  <c r="F901" i="2" a="1"/>
  <c r="F901" i="2" s="1"/>
  <c r="F902" i="2" a="1"/>
  <c r="F902" i="2" s="1"/>
  <c r="F903" i="2" a="1"/>
  <c r="F903" i="2" s="1"/>
  <c r="F904" i="2" a="1"/>
  <c r="F904" i="2" s="1"/>
  <c r="F905" i="2" a="1"/>
  <c r="F905" i="2" s="1"/>
  <c r="F906" i="2" a="1"/>
  <c r="F906" i="2" s="1"/>
  <c r="F907" i="2" a="1"/>
  <c r="F907" i="2" s="1"/>
  <c r="F908" i="2" a="1"/>
  <c r="F908" i="2" s="1"/>
  <c r="F909" i="2" a="1"/>
  <c r="F909" i="2" s="1"/>
  <c r="F910" i="2" a="1"/>
  <c r="F910" i="2" s="1"/>
  <c r="F911" i="2" a="1"/>
  <c r="F911" i="2" s="1"/>
  <c r="F912" i="2" a="1"/>
  <c r="F912" i="2" s="1"/>
  <c r="F913" i="2" a="1"/>
  <c r="F913" i="2" s="1"/>
  <c r="F914" i="2" a="1"/>
  <c r="F914" i="2" s="1"/>
  <c r="F915" i="2" a="1"/>
  <c r="F915" i="2" s="1"/>
  <c r="F916" i="2" a="1"/>
  <c r="F916" i="2" s="1"/>
  <c r="F917" i="2" a="1"/>
  <c r="F917" i="2" s="1"/>
  <c r="F918" i="2" a="1"/>
  <c r="F918" i="2" s="1"/>
  <c r="F919" i="2" a="1"/>
  <c r="F919" i="2" s="1"/>
  <c r="F920" i="2" a="1"/>
  <c r="F920" i="2" s="1"/>
  <c r="F921" i="2" a="1"/>
  <c r="F921" i="2" s="1"/>
  <c r="F922" i="2" a="1"/>
  <c r="F922" i="2" s="1"/>
  <c r="F923" i="2" a="1"/>
  <c r="F923" i="2" s="1"/>
  <c r="F924" i="2" a="1"/>
  <c r="F924" i="2" s="1"/>
  <c r="F925" i="2" a="1"/>
  <c r="F925" i="2" s="1"/>
  <c r="F926" i="2" a="1"/>
  <c r="F926" i="2" s="1"/>
  <c r="F927" i="2" a="1"/>
  <c r="F927" i="2" s="1"/>
  <c r="F928" i="2" a="1"/>
  <c r="F928" i="2" s="1"/>
  <c r="F929" i="2" a="1"/>
  <c r="F929" i="2" s="1"/>
  <c r="F930" i="2" a="1"/>
  <c r="F930" i="2" s="1"/>
  <c r="F931" i="2" a="1"/>
  <c r="F931" i="2" s="1"/>
  <c r="F932" i="2" a="1"/>
  <c r="F932" i="2" s="1"/>
  <c r="F933" i="2" a="1"/>
  <c r="F933" i="2" s="1"/>
  <c r="F934" i="2" a="1"/>
  <c r="F934" i="2" s="1"/>
  <c r="F935" i="2" a="1"/>
  <c r="F935" i="2" s="1"/>
  <c r="F936" i="2" a="1"/>
  <c r="F936" i="2" s="1"/>
  <c r="F937" i="2" a="1"/>
  <c r="F937" i="2" s="1"/>
  <c r="F938" i="2" a="1"/>
  <c r="F938" i="2" s="1"/>
  <c r="F939" i="2" a="1"/>
  <c r="F939" i="2" s="1"/>
  <c r="F940" i="2" a="1"/>
  <c r="F940" i="2" s="1"/>
  <c r="F941" i="2" a="1"/>
  <c r="F941" i="2" s="1"/>
  <c r="F942" i="2" a="1"/>
  <c r="F942" i="2" s="1"/>
  <c r="F943" i="2" a="1"/>
  <c r="F943" i="2" s="1"/>
  <c r="F944" i="2" a="1"/>
  <c r="F944" i="2" s="1"/>
  <c r="F945" i="2" a="1"/>
  <c r="F945" i="2" s="1"/>
  <c r="F946" i="2" a="1"/>
  <c r="F946" i="2" s="1"/>
  <c r="F947" i="2" a="1"/>
  <c r="F947" i="2" s="1"/>
  <c r="F948" i="2" a="1"/>
  <c r="F948" i="2" s="1"/>
  <c r="F949" i="2" a="1"/>
  <c r="F949" i="2" s="1"/>
  <c r="F950" i="2" a="1"/>
  <c r="F950" i="2" s="1"/>
  <c r="F951" i="2" a="1"/>
  <c r="F951" i="2" s="1"/>
  <c r="F952" i="2" a="1"/>
  <c r="F952" i="2" s="1"/>
  <c r="F953" i="2" a="1"/>
  <c r="F953" i="2" s="1"/>
  <c r="F954" i="2" a="1"/>
  <c r="F954" i="2" s="1"/>
  <c r="F955" i="2" a="1"/>
  <c r="F955" i="2" s="1"/>
  <c r="F956" i="2" a="1"/>
  <c r="F956" i="2" s="1"/>
  <c r="F957" i="2" a="1"/>
  <c r="F957" i="2" s="1"/>
  <c r="F958" i="2" a="1"/>
  <c r="F958" i="2" s="1"/>
  <c r="F959" i="2" a="1"/>
  <c r="F959" i="2" s="1"/>
  <c r="F960" i="2" a="1"/>
  <c r="F960" i="2" s="1"/>
  <c r="F961" i="2" a="1"/>
  <c r="F961" i="2" s="1"/>
  <c r="F962" i="2" a="1"/>
  <c r="F962" i="2" s="1"/>
  <c r="F963" i="2" a="1"/>
  <c r="F963" i="2" s="1"/>
  <c r="F964" i="2" a="1"/>
  <c r="F964" i="2" s="1"/>
  <c r="F965" i="2" a="1"/>
  <c r="F965" i="2" s="1"/>
  <c r="F966" i="2" a="1"/>
  <c r="F966" i="2" s="1"/>
  <c r="F967" i="2" a="1"/>
  <c r="F967" i="2" s="1"/>
  <c r="F968" i="2" a="1"/>
  <c r="F968" i="2" s="1"/>
  <c r="F969" i="2" a="1"/>
  <c r="F969" i="2" s="1"/>
  <c r="F970" i="2" a="1"/>
  <c r="F970" i="2" s="1"/>
  <c r="F971" i="2" a="1"/>
  <c r="F971" i="2" s="1"/>
  <c r="F972" i="2" a="1"/>
  <c r="F972" i="2" s="1"/>
  <c r="F973" i="2" a="1"/>
  <c r="F973" i="2" s="1"/>
  <c r="F974" i="2" a="1"/>
  <c r="F974" i="2" s="1"/>
  <c r="F975" i="2" a="1"/>
  <c r="F975" i="2" s="1"/>
  <c r="F976" i="2" a="1"/>
  <c r="F976" i="2" s="1"/>
  <c r="F977" i="2" a="1"/>
  <c r="F977" i="2" s="1"/>
  <c r="F978" i="2" a="1"/>
  <c r="F978" i="2" s="1"/>
  <c r="F979" i="2" a="1"/>
  <c r="F979" i="2" s="1"/>
  <c r="F980" i="2" a="1"/>
  <c r="F980" i="2" s="1"/>
  <c r="F981" i="2" a="1"/>
  <c r="F981" i="2" s="1"/>
  <c r="F982" i="2" a="1"/>
  <c r="F982" i="2" s="1"/>
  <c r="F983" i="2" a="1"/>
  <c r="F983" i="2" s="1"/>
  <c r="F984" i="2" a="1"/>
  <c r="F984" i="2" s="1"/>
  <c r="F985" i="2" a="1"/>
  <c r="F985" i="2" s="1"/>
  <c r="F986" i="2" a="1"/>
  <c r="F986" i="2" s="1"/>
  <c r="F987" i="2" a="1"/>
  <c r="F987" i="2" s="1"/>
  <c r="F988" i="2" a="1"/>
  <c r="F988" i="2" s="1"/>
  <c r="F989" i="2" a="1"/>
  <c r="F989" i="2" s="1"/>
  <c r="F990" i="2" a="1"/>
  <c r="F990" i="2" s="1"/>
  <c r="F991" i="2" a="1"/>
  <c r="F991" i="2" s="1"/>
  <c r="F992" i="2" a="1"/>
  <c r="F992" i="2" s="1"/>
  <c r="F993" i="2" a="1"/>
  <c r="F993" i="2" s="1"/>
  <c r="F994" i="2" a="1"/>
  <c r="F994" i="2" s="1"/>
  <c r="F995" i="2" a="1"/>
  <c r="F995" i="2" s="1"/>
  <c r="F996" i="2" a="1"/>
  <c r="F996" i="2" s="1"/>
  <c r="F997" i="2" a="1"/>
  <c r="F997" i="2" s="1"/>
  <c r="F998" i="2" a="1"/>
  <c r="F998" i="2" s="1"/>
  <c r="F999" i="2" a="1"/>
  <c r="F999" i="2" s="1"/>
  <c r="F1000" i="2" a="1"/>
  <c r="F1000" i="2" s="1"/>
  <c r="F1001" i="2" a="1"/>
  <c r="F1001" i="2" s="1"/>
  <c r="F1002" i="2" a="1"/>
  <c r="F1002" i="2" s="1"/>
  <c r="F1003" i="2" a="1"/>
  <c r="F1003" i="2" s="1"/>
  <c r="F1004" i="2" a="1"/>
  <c r="F1004" i="2" s="1"/>
  <c r="F1005" i="2" a="1"/>
  <c r="F1005" i="2" s="1"/>
  <c r="F1006" i="2" a="1"/>
  <c r="F1006" i="2" s="1"/>
  <c r="F1007" i="2" a="1"/>
  <c r="F1007" i="2" s="1"/>
  <c r="F1008" i="2" a="1"/>
  <c r="F1008" i="2" s="1"/>
  <c r="F1009" i="2" a="1"/>
  <c r="F1009" i="2" s="1"/>
  <c r="F1010" i="2" a="1"/>
  <c r="F1010" i="2" s="1"/>
  <c r="F1011" i="2" a="1"/>
  <c r="F1011" i="2" s="1"/>
  <c r="F1012" i="2" a="1"/>
  <c r="F1012" i="2" s="1"/>
  <c r="F1013" i="2" a="1"/>
  <c r="F1013" i="2" s="1"/>
  <c r="F1014" i="2" a="1"/>
  <c r="F1014" i="2" s="1"/>
  <c r="F1015" i="2" a="1"/>
  <c r="F1015" i="2" s="1"/>
  <c r="F1016" i="2" a="1"/>
  <c r="F1016" i="2" s="1"/>
  <c r="F1017" i="2" a="1"/>
  <c r="F1017" i="2" s="1"/>
  <c r="F1018" i="2" a="1"/>
  <c r="F1018" i="2" s="1"/>
  <c r="F1019" i="2" a="1"/>
  <c r="F1019" i="2" s="1"/>
  <c r="F1020" i="2" a="1"/>
  <c r="F1020" i="2" s="1"/>
  <c r="F1021" i="2" a="1"/>
  <c r="F1021" i="2" s="1"/>
  <c r="F1022" i="2" a="1"/>
  <c r="F1022" i="2" s="1"/>
  <c r="F1023" i="2" a="1"/>
  <c r="F1023" i="2" s="1"/>
  <c r="F1024" i="2" a="1"/>
  <c r="F1024" i="2" s="1"/>
  <c r="F1025" i="2" a="1"/>
  <c r="F1025" i="2" s="1"/>
  <c r="F1026" i="2" a="1"/>
  <c r="F1026" i="2" s="1"/>
  <c r="F1027" i="2" a="1"/>
  <c r="F1027" i="2" s="1"/>
  <c r="F1028" i="2" a="1"/>
  <c r="F1028" i="2" s="1"/>
  <c r="F1029" i="2" a="1"/>
  <c r="F1029" i="2" s="1"/>
  <c r="F1030" i="2" a="1"/>
  <c r="F1030" i="2" s="1"/>
  <c r="F1031" i="2" a="1"/>
  <c r="F1031" i="2" s="1"/>
  <c r="F1032" i="2" a="1"/>
  <c r="F1032" i="2" s="1"/>
  <c r="F1033" i="2" a="1"/>
  <c r="F1033" i="2" s="1"/>
  <c r="F1034" i="2" a="1"/>
  <c r="F1034" i="2" s="1"/>
  <c r="F1035" i="2" a="1"/>
  <c r="F1035" i="2" s="1"/>
  <c r="F1036" i="2" a="1"/>
  <c r="F1036" i="2" s="1"/>
  <c r="F1037" i="2" a="1"/>
  <c r="F1037" i="2" s="1"/>
  <c r="F1038" i="2" a="1"/>
  <c r="F1038" i="2" s="1"/>
  <c r="F1039" i="2" a="1"/>
  <c r="F1039" i="2" s="1"/>
  <c r="F1040" i="2" a="1"/>
  <c r="F1040" i="2" s="1"/>
  <c r="F1041" i="2" a="1"/>
  <c r="F1041" i="2" s="1"/>
  <c r="F1042" i="2" a="1"/>
  <c r="F1042" i="2" s="1"/>
  <c r="F1043" i="2" a="1"/>
  <c r="F1043" i="2" s="1"/>
  <c r="F1044" i="2" a="1"/>
  <c r="F1044" i="2" s="1"/>
  <c r="F1045" i="2" a="1"/>
  <c r="F1045" i="2" s="1"/>
  <c r="F1046" i="2" a="1"/>
  <c r="F1046" i="2" s="1"/>
  <c r="F1047" i="2" a="1"/>
  <c r="F1047" i="2" s="1"/>
  <c r="F1048" i="2" a="1"/>
  <c r="F1048" i="2" s="1"/>
  <c r="F1049" i="2" a="1"/>
  <c r="F1049" i="2" s="1"/>
  <c r="F1050" i="2" a="1"/>
  <c r="F1050" i="2" s="1"/>
  <c r="F1051" i="2" a="1"/>
  <c r="F1051" i="2" s="1"/>
  <c r="F1052" i="2" a="1"/>
  <c r="F1052" i="2" s="1"/>
  <c r="F1053" i="2" a="1"/>
  <c r="F1053" i="2" s="1"/>
  <c r="F1054" i="2" a="1"/>
  <c r="F1054" i="2" s="1"/>
  <c r="F1055" i="2" a="1"/>
  <c r="F1055" i="2" s="1"/>
  <c r="F1056" i="2" a="1"/>
  <c r="F1056" i="2" s="1"/>
  <c r="F1057" i="2" a="1"/>
  <c r="F1057" i="2" s="1"/>
  <c r="F1058" i="2" a="1"/>
  <c r="F1058" i="2" s="1"/>
  <c r="F1059" i="2" a="1"/>
  <c r="F1059" i="2" s="1"/>
  <c r="F1060" i="2" a="1"/>
  <c r="F1060" i="2" s="1"/>
  <c r="F1061" i="2" a="1"/>
  <c r="F1061" i="2" s="1"/>
  <c r="F1062" i="2" a="1"/>
  <c r="F1062" i="2" s="1"/>
  <c r="F1063" i="2" a="1"/>
  <c r="F1063" i="2" s="1"/>
  <c r="F1064" i="2" a="1"/>
  <c r="F1064" i="2" s="1"/>
  <c r="F1065" i="2" a="1"/>
  <c r="F1065" i="2" s="1"/>
  <c r="F1066" i="2" a="1"/>
  <c r="F1066" i="2" s="1"/>
  <c r="F1067" i="2" a="1"/>
  <c r="F1067" i="2" s="1"/>
  <c r="F1068" i="2" a="1"/>
  <c r="F1068" i="2" s="1"/>
  <c r="F1069" i="2" a="1"/>
  <c r="F1069" i="2" s="1"/>
  <c r="F1070" i="2" a="1"/>
  <c r="F1070" i="2" s="1"/>
  <c r="F1071" i="2" a="1"/>
  <c r="F1071" i="2" s="1"/>
  <c r="F1072" i="2" a="1"/>
  <c r="F1072" i="2" s="1"/>
  <c r="F1073" i="2" a="1"/>
  <c r="F1073" i="2" s="1"/>
  <c r="F1074" i="2" a="1"/>
  <c r="F1074" i="2" s="1"/>
  <c r="F1075" i="2" a="1"/>
  <c r="F1075" i="2" s="1"/>
  <c r="F1076" i="2" a="1"/>
  <c r="F1076" i="2" s="1"/>
  <c r="F1077" i="2" a="1"/>
  <c r="F1077" i="2" s="1"/>
  <c r="F1078" i="2" a="1"/>
  <c r="F1078" i="2" s="1"/>
  <c r="F1079" i="2" a="1"/>
  <c r="F1079" i="2" s="1"/>
  <c r="F1080" i="2" a="1"/>
  <c r="F1080" i="2" s="1"/>
  <c r="F1081" i="2" a="1"/>
  <c r="F1081" i="2" s="1"/>
  <c r="F1082" i="2" a="1"/>
  <c r="F1082" i="2" s="1"/>
  <c r="F1083" i="2" a="1"/>
  <c r="F1083" i="2" s="1"/>
  <c r="F1084" i="2" a="1"/>
  <c r="F1084" i="2" s="1"/>
  <c r="F1085" i="2" a="1"/>
  <c r="F1085" i="2" s="1"/>
  <c r="F1086" i="2" a="1"/>
  <c r="F1086" i="2" s="1"/>
  <c r="F1087" i="2" a="1"/>
  <c r="F1087" i="2" s="1"/>
  <c r="F1088" i="2" a="1"/>
  <c r="F1088" i="2" s="1"/>
  <c r="F1089" i="2" a="1"/>
  <c r="F1089" i="2" s="1"/>
  <c r="F1090" i="2" a="1"/>
  <c r="F1090" i="2" s="1"/>
  <c r="F1091" i="2" a="1"/>
  <c r="F1091" i="2" s="1"/>
  <c r="F1092" i="2" a="1"/>
  <c r="F1092" i="2" s="1"/>
  <c r="F1093" i="2" a="1"/>
  <c r="F1093" i="2" s="1"/>
  <c r="F1094" i="2" a="1"/>
  <c r="F1094" i="2" s="1"/>
  <c r="F1095" i="2" a="1"/>
  <c r="F1095" i="2" s="1"/>
  <c r="F1096" i="2" a="1"/>
  <c r="F1096" i="2" s="1"/>
  <c r="F1097" i="2" a="1"/>
  <c r="F1097" i="2" s="1"/>
  <c r="F1098" i="2" a="1"/>
  <c r="F1098" i="2" s="1"/>
  <c r="F1099" i="2" a="1"/>
  <c r="F1099" i="2" s="1"/>
  <c r="F1100" i="2" a="1"/>
  <c r="F1100" i="2" s="1"/>
  <c r="F1101" i="2" a="1"/>
  <c r="F1101" i="2" s="1"/>
  <c r="F1102" i="2" a="1"/>
  <c r="F1102" i="2" s="1"/>
  <c r="F1103" i="2" a="1"/>
  <c r="F1103" i="2" s="1"/>
  <c r="F1104" i="2" a="1"/>
  <c r="F1104" i="2" s="1"/>
  <c r="F1105" i="2" a="1"/>
  <c r="F1105" i="2" s="1"/>
  <c r="F1106" i="2" a="1"/>
  <c r="F1106" i="2" s="1"/>
  <c r="F1107" i="2" a="1"/>
  <c r="F1107" i="2" s="1"/>
  <c r="F1108" i="2" a="1"/>
  <c r="F1108" i="2" s="1"/>
  <c r="F1109" i="2" a="1"/>
  <c r="F1109" i="2" s="1"/>
  <c r="F1110" i="2" a="1"/>
  <c r="F1110" i="2" s="1"/>
  <c r="F1111" i="2" a="1"/>
  <c r="F1111" i="2" s="1"/>
  <c r="F1112" i="2" a="1"/>
  <c r="F1112" i="2" s="1"/>
  <c r="F1113" i="2" a="1"/>
  <c r="F1113" i="2" s="1"/>
  <c r="F1114" i="2" a="1"/>
  <c r="F1114" i="2" s="1"/>
  <c r="F1115" i="2" a="1"/>
  <c r="F1115" i="2" s="1"/>
  <c r="F1116" i="2" a="1"/>
  <c r="F1116" i="2" s="1"/>
  <c r="F1117" i="2" a="1"/>
  <c r="F1117" i="2" s="1"/>
  <c r="F1118" i="2" a="1"/>
  <c r="F1118" i="2" s="1"/>
  <c r="F1119" i="2" a="1"/>
  <c r="F1119" i="2" s="1"/>
  <c r="F1120" i="2" a="1"/>
  <c r="F1120" i="2" s="1"/>
  <c r="F1121" i="2" a="1"/>
  <c r="F1121" i="2" s="1"/>
  <c r="F1122" i="2" a="1"/>
  <c r="F1122" i="2" s="1"/>
  <c r="F1123" i="2" a="1"/>
  <c r="F1123" i="2" s="1"/>
  <c r="F1124" i="2" a="1"/>
  <c r="F1124" i="2" s="1"/>
  <c r="F1125" i="2" a="1"/>
  <c r="F1125" i="2" s="1"/>
  <c r="F1126" i="2" a="1"/>
  <c r="F1126" i="2" s="1"/>
  <c r="F1127" i="2" a="1"/>
  <c r="F1127" i="2" s="1"/>
  <c r="F1128" i="2" a="1"/>
  <c r="F1128" i="2" s="1"/>
  <c r="F1129" i="2" a="1"/>
  <c r="F1129" i="2" s="1"/>
  <c r="F1130" i="2" a="1"/>
  <c r="F1130" i="2" s="1"/>
  <c r="F1131" i="2" a="1"/>
  <c r="F1131" i="2" s="1"/>
  <c r="F1132" i="2" a="1"/>
  <c r="F1132" i="2" s="1"/>
  <c r="F1133" i="2" a="1"/>
  <c r="F1133" i="2" s="1"/>
  <c r="F1134" i="2" a="1"/>
  <c r="F1134" i="2" s="1"/>
  <c r="F1135" i="2" a="1"/>
  <c r="F1135" i="2" s="1"/>
  <c r="F1136" i="2" a="1"/>
  <c r="F1136" i="2" s="1"/>
  <c r="F1137" i="2" a="1"/>
  <c r="F1137" i="2" s="1"/>
  <c r="F1138" i="2" a="1"/>
  <c r="F1138" i="2" s="1"/>
  <c r="F1139" i="2" a="1"/>
  <c r="F1139" i="2" s="1"/>
  <c r="F1140" i="2" a="1"/>
  <c r="F1140" i="2" s="1"/>
  <c r="F1141" i="2" a="1"/>
  <c r="F1141" i="2" s="1"/>
  <c r="F1142" i="2" a="1"/>
  <c r="F1142" i="2" s="1"/>
  <c r="F1143" i="2" a="1"/>
  <c r="F1143" i="2" s="1"/>
  <c r="F1144" i="2" a="1"/>
  <c r="F1144" i="2" s="1"/>
  <c r="F1145" i="2" a="1"/>
  <c r="F1145" i="2" s="1"/>
  <c r="F1146" i="2" a="1"/>
  <c r="F1146" i="2" s="1"/>
  <c r="F1147" i="2" a="1"/>
  <c r="F1147" i="2" s="1"/>
  <c r="F1148" i="2" a="1"/>
  <c r="F1148" i="2" s="1"/>
  <c r="F1149" i="2" a="1"/>
  <c r="F1149" i="2" s="1"/>
  <c r="F1150" i="2" a="1"/>
  <c r="F1150" i="2" s="1"/>
  <c r="F1151" i="2" a="1"/>
  <c r="F1151" i="2" s="1"/>
  <c r="F1152" i="2" a="1"/>
  <c r="F1152" i="2" s="1"/>
  <c r="F1153" i="2" a="1"/>
  <c r="F1153" i="2" s="1"/>
  <c r="F1154" i="2" a="1"/>
  <c r="F1154" i="2" s="1"/>
  <c r="F1155" i="2" a="1"/>
  <c r="F1155" i="2" s="1"/>
  <c r="F1156" i="2" a="1"/>
  <c r="F1156" i="2" s="1"/>
  <c r="F1157" i="2" a="1"/>
  <c r="F1157" i="2" s="1"/>
  <c r="F1158" i="2" a="1"/>
  <c r="F1158" i="2" s="1"/>
  <c r="F1159" i="2" a="1"/>
  <c r="F1159" i="2" s="1"/>
  <c r="F1160" i="2" a="1"/>
  <c r="F1160" i="2" s="1"/>
  <c r="F1161" i="2" a="1"/>
  <c r="F1161" i="2" s="1"/>
  <c r="F1162" i="2" a="1"/>
  <c r="F1162" i="2" s="1"/>
  <c r="F1163" i="2" a="1"/>
  <c r="F1163" i="2" s="1"/>
  <c r="F1164" i="2" a="1"/>
  <c r="F1164" i="2" s="1"/>
  <c r="F1165" i="2" a="1"/>
  <c r="F1165" i="2" s="1"/>
  <c r="F1166" i="2" a="1"/>
  <c r="F1166" i="2" s="1"/>
  <c r="F1167" i="2" a="1"/>
  <c r="F1167" i="2" s="1"/>
  <c r="F1168" i="2" a="1"/>
  <c r="F1168" i="2" s="1"/>
  <c r="F1169" i="2" a="1"/>
  <c r="F1169" i="2" s="1"/>
  <c r="F1170" i="2" a="1"/>
  <c r="F1170" i="2" s="1"/>
  <c r="F1171" i="2" a="1"/>
  <c r="F1171" i="2" s="1"/>
  <c r="F1172" i="2" a="1"/>
  <c r="F1172" i="2" s="1"/>
  <c r="F1173" i="2" a="1"/>
  <c r="F1173" i="2" s="1"/>
  <c r="F1174" i="2" a="1"/>
  <c r="F1174" i="2" s="1"/>
  <c r="F1175" i="2" a="1"/>
  <c r="F1175" i="2" s="1"/>
  <c r="F1176" i="2" a="1"/>
  <c r="F1176" i="2" s="1"/>
  <c r="F1177" i="2" a="1"/>
  <c r="F1177" i="2" s="1"/>
  <c r="F1178" i="2" a="1"/>
  <c r="F1178" i="2" s="1"/>
  <c r="F1179" i="2" a="1"/>
  <c r="F1179" i="2" s="1"/>
  <c r="F1180" i="2" a="1"/>
  <c r="F1180" i="2" s="1"/>
  <c r="F1181" i="2" a="1"/>
  <c r="F1181" i="2" s="1"/>
  <c r="F1182" i="2" a="1"/>
  <c r="F1182" i="2" s="1"/>
  <c r="F1183" i="2" a="1"/>
  <c r="F1183" i="2" s="1"/>
  <c r="F1184" i="2" a="1"/>
  <c r="F1184" i="2" s="1"/>
  <c r="F1185" i="2" a="1"/>
  <c r="F1185" i="2" s="1"/>
  <c r="F1186" i="2" a="1"/>
  <c r="F1186" i="2" s="1"/>
  <c r="F1187" i="2" a="1"/>
  <c r="F1187" i="2" s="1"/>
  <c r="F1188" i="2" a="1"/>
  <c r="F1188" i="2" s="1"/>
  <c r="F1189" i="2" a="1"/>
  <c r="F1189" i="2" s="1"/>
  <c r="F1190" i="2" a="1"/>
  <c r="F1190" i="2" s="1"/>
  <c r="F1191" i="2" a="1"/>
  <c r="F1191" i="2" s="1"/>
  <c r="F1192" i="2" a="1"/>
  <c r="F1192" i="2" s="1"/>
  <c r="F1193" i="2" a="1"/>
  <c r="F1193" i="2" s="1"/>
  <c r="F1194" i="2" a="1"/>
  <c r="F1194" i="2" s="1"/>
  <c r="F1195" i="2" a="1"/>
  <c r="F1195" i="2" s="1"/>
  <c r="F1196" i="2" a="1"/>
  <c r="F1196" i="2" s="1"/>
  <c r="F1197" i="2" a="1"/>
  <c r="F1197" i="2" s="1"/>
  <c r="F1198" i="2" a="1"/>
  <c r="F1198" i="2" s="1"/>
  <c r="F1199" i="2" a="1"/>
  <c r="F1199" i="2" s="1"/>
  <c r="F1200" i="2" a="1"/>
  <c r="F1200" i="2" s="1"/>
  <c r="F1201" i="2" a="1"/>
  <c r="F1201" i="2" s="1"/>
  <c r="F1202" i="2" a="1"/>
  <c r="F1202" i="2" s="1"/>
  <c r="F1203" i="2" a="1"/>
  <c r="F1203" i="2" s="1"/>
  <c r="F1204" i="2" a="1"/>
  <c r="F1204" i="2" s="1"/>
  <c r="F1205" i="2" a="1"/>
  <c r="F1205" i="2" s="1"/>
  <c r="F1206" i="2" a="1"/>
  <c r="F1206" i="2" s="1"/>
  <c r="F1207" i="2" a="1"/>
  <c r="F1207" i="2" s="1"/>
  <c r="F1208" i="2" a="1"/>
  <c r="F1208" i="2" s="1"/>
  <c r="F1209" i="2" a="1"/>
  <c r="F1209" i="2" s="1"/>
  <c r="F1210" i="2" a="1"/>
  <c r="F1210" i="2" s="1"/>
  <c r="F1211" i="2" a="1"/>
  <c r="F1211" i="2" s="1"/>
  <c r="F1212" i="2" a="1"/>
  <c r="F1212" i="2" s="1"/>
  <c r="F1213" i="2" a="1"/>
  <c r="F1213" i="2" s="1"/>
  <c r="F1214" i="2" a="1"/>
  <c r="F1214" i="2" s="1"/>
  <c r="F1215" i="2" a="1"/>
  <c r="F1215" i="2" s="1"/>
  <c r="F1216" i="2" a="1"/>
  <c r="F1216" i="2" s="1"/>
  <c r="F1217" i="2" a="1"/>
  <c r="F1217" i="2" s="1"/>
  <c r="F1218" i="2" a="1"/>
  <c r="F1218" i="2" s="1"/>
  <c r="F1219" i="2" a="1"/>
  <c r="F1219" i="2" s="1"/>
  <c r="F1220" i="2" a="1"/>
  <c r="F1220" i="2" s="1"/>
  <c r="F1221" i="2" a="1"/>
  <c r="F1221" i="2" s="1"/>
  <c r="F1222" i="2" a="1"/>
  <c r="F1222" i="2" s="1"/>
  <c r="F1223" i="2" a="1"/>
  <c r="F1223" i="2" s="1"/>
  <c r="F1224" i="2" a="1"/>
  <c r="F1224" i="2" s="1"/>
  <c r="F1225" i="2" a="1"/>
  <c r="F1225" i="2" s="1"/>
  <c r="F1226" i="2" a="1"/>
  <c r="F1226" i="2" s="1"/>
  <c r="F1227" i="2" a="1"/>
  <c r="F1227" i="2" s="1"/>
  <c r="F1228" i="2" a="1"/>
  <c r="F1228" i="2" s="1"/>
  <c r="F1229" i="2" a="1"/>
  <c r="F1229" i="2" s="1"/>
  <c r="F1230" i="2" a="1"/>
  <c r="F1230" i="2" s="1"/>
  <c r="F1231" i="2" a="1"/>
  <c r="F1231" i="2" s="1"/>
  <c r="F1232" i="2" a="1"/>
  <c r="F1232" i="2" s="1"/>
  <c r="F1233" i="2" a="1"/>
  <c r="F1233" i="2" s="1"/>
  <c r="F1234" i="2" a="1"/>
  <c r="F1234" i="2" s="1"/>
  <c r="F1235" i="2" a="1"/>
  <c r="F1235" i="2" s="1"/>
  <c r="F1236" i="2" a="1"/>
  <c r="F1236" i="2" s="1"/>
  <c r="F1237" i="2" a="1"/>
  <c r="F1237" i="2" s="1"/>
  <c r="F1238" i="2" a="1"/>
  <c r="F1238" i="2" s="1"/>
  <c r="F1239" i="2" a="1"/>
  <c r="F1239" i="2" s="1"/>
  <c r="F1240" i="2" a="1"/>
  <c r="F1240" i="2" s="1"/>
  <c r="F1241" i="2" a="1"/>
  <c r="F1241" i="2" s="1"/>
  <c r="F1242" i="2" a="1"/>
  <c r="F1242" i="2" s="1"/>
  <c r="F1243" i="2" a="1"/>
  <c r="F1243" i="2" s="1"/>
  <c r="F1244" i="2" a="1"/>
  <c r="F1244" i="2" s="1"/>
  <c r="F1245" i="2" a="1"/>
  <c r="F1245" i="2" s="1"/>
  <c r="F1246" i="2" a="1"/>
  <c r="F1246" i="2" s="1"/>
  <c r="F1247" i="2" a="1"/>
  <c r="F1247" i="2" s="1"/>
  <c r="F1248" i="2" a="1"/>
  <c r="F1248" i="2" s="1"/>
  <c r="F1249" i="2" a="1"/>
  <c r="F1249" i="2" s="1"/>
  <c r="F1250" i="2" a="1"/>
  <c r="F1250" i="2" s="1"/>
  <c r="F1251" i="2" a="1"/>
  <c r="F1251" i="2" s="1"/>
  <c r="F1252" i="2" a="1"/>
  <c r="F1252" i="2" s="1"/>
  <c r="F1253" i="2" a="1"/>
  <c r="F1253" i="2" s="1"/>
  <c r="F1254" i="2" a="1"/>
  <c r="F1254" i="2" s="1"/>
  <c r="F1255" i="2" a="1"/>
  <c r="F1255" i="2" s="1"/>
  <c r="F1256" i="2" a="1"/>
  <c r="F1256" i="2" s="1"/>
  <c r="F1257" i="2" a="1"/>
  <c r="F1257" i="2" s="1"/>
  <c r="F1258" i="2" a="1"/>
  <c r="F1258" i="2" s="1"/>
  <c r="F1259" i="2" a="1"/>
  <c r="F1259" i="2" s="1"/>
  <c r="F1260" i="2" a="1"/>
  <c r="F1260" i="2" s="1"/>
  <c r="F1261" i="2" a="1"/>
  <c r="F1261" i="2" s="1"/>
  <c r="F1262" i="2" a="1"/>
  <c r="F1262" i="2" s="1"/>
  <c r="F1263" i="2" a="1"/>
  <c r="F1263" i="2" s="1"/>
  <c r="F1264" i="2" a="1"/>
  <c r="F1264" i="2" s="1"/>
  <c r="F1265" i="2" a="1"/>
  <c r="F1265" i="2" s="1"/>
  <c r="F1266" i="2" a="1"/>
  <c r="F1266" i="2" s="1"/>
  <c r="F1267" i="2" a="1"/>
  <c r="F1267" i="2" s="1"/>
  <c r="F1268" i="2" a="1"/>
  <c r="F1268" i="2" s="1"/>
  <c r="F1269" i="2" a="1"/>
  <c r="F1269" i="2" s="1"/>
  <c r="F1270" i="2" a="1"/>
  <c r="F1270" i="2" s="1"/>
  <c r="F1271" i="2" a="1"/>
  <c r="F1271" i="2" s="1"/>
  <c r="F1272" i="2" a="1"/>
  <c r="F1272" i="2" s="1"/>
  <c r="F1273" i="2" a="1"/>
  <c r="F1273" i="2" s="1"/>
  <c r="F1274" i="2" a="1"/>
  <c r="F1274" i="2" s="1"/>
  <c r="F1275" i="2" a="1"/>
  <c r="F1275" i="2" s="1"/>
  <c r="F1276" i="2" a="1"/>
  <c r="F1276" i="2" s="1"/>
  <c r="F1277" i="2" a="1"/>
  <c r="F1277" i="2" s="1"/>
  <c r="F1278" i="2" a="1"/>
  <c r="F1278" i="2" s="1"/>
  <c r="F1279" i="2" a="1"/>
  <c r="F1279" i="2" s="1"/>
  <c r="F1280" i="2" a="1"/>
  <c r="F1280" i="2" s="1"/>
  <c r="F1281" i="2" a="1"/>
  <c r="F1281" i="2" s="1"/>
  <c r="F1282" i="2" a="1"/>
  <c r="F1282" i="2" s="1"/>
  <c r="F1283" i="2" a="1"/>
  <c r="F1283" i="2" s="1"/>
  <c r="F1284" i="2" a="1"/>
  <c r="F1284" i="2" s="1"/>
  <c r="F1285" i="2" a="1"/>
  <c r="F1285" i="2" s="1"/>
  <c r="F1286" i="2" a="1"/>
  <c r="F1286" i="2" s="1"/>
  <c r="F1287" i="2" a="1"/>
  <c r="F1287" i="2" s="1"/>
  <c r="F1288" i="2" a="1"/>
  <c r="F1288" i="2" s="1"/>
  <c r="F1289" i="2" a="1"/>
  <c r="F1289" i="2" s="1"/>
  <c r="F1290" i="2" a="1"/>
  <c r="F1290" i="2" s="1"/>
  <c r="F1291" i="2" a="1"/>
  <c r="F1291" i="2" s="1"/>
  <c r="F1292" i="2" a="1"/>
  <c r="F1292" i="2" s="1"/>
  <c r="F1293" i="2" a="1"/>
  <c r="F1293" i="2" s="1"/>
  <c r="F1294" i="2" a="1"/>
  <c r="F1294" i="2" s="1"/>
  <c r="F1295" i="2" a="1"/>
  <c r="F1295" i="2" s="1"/>
  <c r="F1296" i="2" a="1"/>
  <c r="F1296" i="2" s="1"/>
  <c r="F1297" i="2" a="1"/>
  <c r="F1297" i="2" s="1"/>
  <c r="F1298" i="2" a="1"/>
  <c r="F1298" i="2" s="1"/>
  <c r="F1299" i="2" a="1"/>
  <c r="F1299" i="2" s="1"/>
  <c r="F1300" i="2" a="1"/>
  <c r="F1300" i="2" s="1"/>
  <c r="F1301" i="2" a="1"/>
  <c r="F1301" i="2" s="1"/>
  <c r="F1302" i="2" a="1"/>
  <c r="F1302" i="2" s="1"/>
  <c r="F1303" i="2" a="1"/>
  <c r="F1303" i="2" s="1"/>
  <c r="F1304" i="2" a="1"/>
  <c r="F1304" i="2" s="1"/>
  <c r="F1305" i="2" a="1"/>
  <c r="F1305" i="2" s="1"/>
  <c r="F1306" i="2" a="1"/>
  <c r="F1306" i="2" s="1"/>
  <c r="F1307" i="2" a="1"/>
  <c r="F1307" i="2" s="1"/>
  <c r="F1308" i="2" a="1"/>
  <c r="F1308" i="2" s="1"/>
  <c r="F1309" i="2" a="1"/>
  <c r="F1309" i="2" s="1"/>
  <c r="F1310" i="2" a="1"/>
  <c r="F1310" i="2" s="1"/>
  <c r="F1311" i="2" a="1"/>
  <c r="F1311" i="2" s="1"/>
  <c r="F1312" i="2" a="1"/>
  <c r="F1312" i="2" s="1"/>
  <c r="F1313" i="2" a="1"/>
  <c r="F1313" i="2" s="1"/>
  <c r="F1314" i="2" a="1"/>
  <c r="F1314" i="2" s="1"/>
  <c r="F1315" i="2" a="1"/>
  <c r="F1315" i="2" s="1"/>
  <c r="F1316" i="2" a="1"/>
  <c r="F1316" i="2" s="1"/>
  <c r="F1317" i="2" a="1"/>
  <c r="F1317" i="2" s="1"/>
  <c r="F1318" i="2" a="1"/>
  <c r="F1318" i="2" s="1"/>
  <c r="F1319" i="2" a="1"/>
  <c r="F1319" i="2" s="1"/>
  <c r="F1320" i="2" a="1"/>
  <c r="F1320" i="2" s="1"/>
  <c r="F1321" i="2" a="1"/>
  <c r="F1321" i="2" s="1"/>
  <c r="F1322" i="2" a="1"/>
  <c r="F1322" i="2" s="1"/>
  <c r="F1323" i="2" a="1"/>
  <c r="F1323" i="2" s="1"/>
  <c r="F1324" i="2" a="1"/>
  <c r="F1324" i="2" s="1"/>
  <c r="F1325" i="2" a="1"/>
  <c r="F1325" i="2" s="1"/>
  <c r="F1326" i="2" a="1"/>
  <c r="F1326" i="2" s="1"/>
  <c r="F1327" i="2" a="1"/>
  <c r="F1327" i="2" s="1"/>
  <c r="F1328" i="2" a="1"/>
  <c r="F1328" i="2" s="1"/>
  <c r="F1329" i="2" a="1"/>
  <c r="F1329" i="2" s="1"/>
  <c r="F1330" i="2" a="1"/>
  <c r="F1330" i="2" s="1"/>
  <c r="F1331" i="2" a="1"/>
  <c r="F1331" i="2" s="1"/>
  <c r="F1332" i="2" a="1"/>
  <c r="F1332" i="2" s="1"/>
  <c r="F1333" i="2" a="1"/>
  <c r="F1333" i="2" s="1"/>
  <c r="F1334" i="2" a="1"/>
  <c r="F1334" i="2" s="1"/>
  <c r="F1335" i="2" a="1"/>
  <c r="F1335" i="2" s="1"/>
  <c r="F1336" i="2" a="1"/>
  <c r="F1336" i="2" s="1"/>
  <c r="F1337" i="2" a="1"/>
  <c r="F1337" i="2" s="1"/>
  <c r="F1338" i="2" a="1"/>
  <c r="F1338" i="2" s="1"/>
  <c r="F1339" i="2" a="1"/>
  <c r="F1339" i="2" s="1"/>
  <c r="F1340" i="2" a="1"/>
  <c r="F1340" i="2" s="1"/>
  <c r="F1341" i="2" a="1"/>
  <c r="F1341" i="2" s="1"/>
  <c r="F1342" i="2" a="1"/>
  <c r="F1342" i="2" s="1"/>
  <c r="F1343" i="2" a="1"/>
  <c r="F1343" i="2" s="1"/>
  <c r="F1344" i="2" a="1"/>
  <c r="F1344" i="2" s="1"/>
  <c r="F1345" i="2" a="1"/>
  <c r="F1345" i="2" s="1"/>
  <c r="F1346" i="2" a="1"/>
  <c r="F1346" i="2" s="1"/>
  <c r="F1347" i="2" a="1"/>
  <c r="F1347" i="2" s="1"/>
  <c r="F1348" i="2" a="1"/>
  <c r="F1348" i="2" s="1"/>
  <c r="F1349" i="2" a="1"/>
  <c r="F1349" i="2" s="1"/>
  <c r="F1350" i="2" a="1"/>
  <c r="F1350" i="2" s="1"/>
  <c r="F1351" i="2" a="1"/>
  <c r="F1351" i="2" s="1"/>
  <c r="F1352" i="2" a="1"/>
  <c r="F1352" i="2" s="1"/>
  <c r="F1353" i="2" a="1"/>
  <c r="F1353" i="2" s="1"/>
  <c r="F1354" i="2" a="1"/>
  <c r="F1354" i="2" s="1"/>
  <c r="F1355" i="2" a="1"/>
  <c r="F1355" i="2" s="1"/>
  <c r="F1356" i="2" a="1"/>
  <c r="F1356" i="2" s="1"/>
  <c r="F1357" i="2" a="1"/>
  <c r="F1357" i="2" s="1"/>
  <c r="F1358" i="2" a="1"/>
  <c r="F1358" i="2" s="1"/>
  <c r="F1359" i="2" a="1"/>
  <c r="F1359" i="2" s="1"/>
  <c r="F1360" i="2" a="1"/>
  <c r="F1360" i="2" s="1"/>
  <c r="F1361" i="2" a="1"/>
  <c r="F1361" i="2" s="1"/>
  <c r="F1362" i="2" a="1"/>
  <c r="F1362" i="2" s="1"/>
  <c r="F1363" i="2" a="1"/>
  <c r="F1363" i="2" s="1"/>
  <c r="F1364" i="2" a="1"/>
  <c r="F1364" i="2" s="1"/>
  <c r="F1365" i="2" a="1"/>
  <c r="F1365" i="2" s="1"/>
  <c r="F1366" i="2" a="1"/>
  <c r="F1366" i="2" s="1"/>
  <c r="F1367" i="2" a="1"/>
  <c r="F1367" i="2" s="1"/>
  <c r="F1368" i="2" a="1"/>
  <c r="F1368" i="2" s="1"/>
  <c r="F1369" i="2" a="1"/>
  <c r="F1369" i="2" s="1"/>
  <c r="F1370" i="2" a="1"/>
  <c r="F1370" i="2" s="1"/>
  <c r="F1371" i="2" a="1"/>
  <c r="F1371" i="2" s="1"/>
  <c r="F1372" i="2" a="1"/>
  <c r="F1372" i="2" s="1"/>
  <c r="F1373" i="2" a="1"/>
  <c r="F1373" i="2" s="1"/>
  <c r="F1374" i="2" a="1"/>
  <c r="F1374" i="2" s="1"/>
  <c r="F1375" i="2" a="1"/>
  <c r="F1375" i="2" s="1"/>
  <c r="F1376" i="2" a="1"/>
  <c r="F1376" i="2" s="1"/>
  <c r="F1377" i="2" a="1"/>
  <c r="F1377" i="2" s="1"/>
  <c r="F1378" i="2" a="1"/>
  <c r="F1378" i="2" s="1"/>
  <c r="F1379" i="2" a="1"/>
  <c r="F1379" i="2" s="1"/>
  <c r="F1380" i="2" a="1"/>
  <c r="F1380" i="2" s="1"/>
  <c r="F1381" i="2" a="1"/>
  <c r="F1381" i="2" s="1"/>
  <c r="F1382" i="2" a="1"/>
  <c r="F1382" i="2" s="1"/>
  <c r="F1383" i="2" a="1"/>
  <c r="F1383" i="2" s="1"/>
  <c r="F1384" i="2" a="1"/>
  <c r="F1384" i="2" s="1"/>
  <c r="F1385" i="2" a="1"/>
  <c r="F1385" i="2" s="1"/>
  <c r="F1386" i="2" a="1"/>
  <c r="F1386" i="2" s="1"/>
  <c r="F1387" i="2" a="1"/>
  <c r="F1387" i="2" s="1"/>
  <c r="F1388" i="2" a="1"/>
  <c r="F1388" i="2" s="1"/>
  <c r="F1389" i="2" a="1"/>
  <c r="F1389" i="2" s="1"/>
  <c r="F1390" i="2" a="1"/>
  <c r="F1390" i="2" s="1"/>
  <c r="F1391" i="2" a="1"/>
  <c r="F1391" i="2" s="1"/>
  <c r="F1392" i="2" a="1"/>
  <c r="F1392" i="2" s="1"/>
  <c r="F1393" i="2" a="1"/>
  <c r="F1393" i="2" s="1"/>
  <c r="F1394" i="2" a="1"/>
  <c r="F1394" i="2" s="1"/>
  <c r="F1395" i="2" a="1"/>
  <c r="F1395" i="2" s="1"/>
  <c r="F1396" i="2" a="1"/>
  <c r="F1396" i="2" s="1"/>
  <c r="F1397" i="2" a="1"/>
  <c r="F1397" i="2" s="1"/>
  <c r="F1398" i="2" a="1"/>
  <c r="F1398" i="2" s="1"/>
  <c r="F1399" i="2" a="1"/>
  <c r="F1399" i="2" s="1"/>
  <c r="F1400" i="2" a="1"/>
  <c r="F1400" i="2" s="1"/>
  <c r="F1401" i="2" a="1"/>
  <c r="F1401" i="2" s="1"/>
  <c r="F1402" i="2" a="1"/>
  <c r="F1402" i="2" s="1"/>
  <c r="F1403" i="2" a="1"/>
  <c r="F1403" i="2" s="1"/>
  <c r="F1404" i="2" a="1"/>
  <c r="F1404" i="2" s="1"/>
  <c r="F1405" i="2" a="1"/>
  <c r="F1405" i="2" s="1"/>
  <c r="F1406" i="2" a="1"/>
  <c r="F1406" i="2" s="1"/>
  <c r="F1407" i="2" a="1"/>
  <c r="F1407" i="2" s="1"/>
  <c r="F1408" i="2" a="1"/>
  <c r="F1408" i="2" s="1"/>
  <c r="F1409" i="2" a="1"/>
  <c r="F1409" i="2" s="1"/>
  <c r="F1410" i="2" a="1"/>
  <c r="F1410" i="2" s="1"/>
  <c r="F1411" i="2" a="1"/>
  <c r="F1411" i="2" s="1"/>
  <c r="F1412" i="2" a="1"/>
  <c r="F1412" i="2" s="1"/>
  <c r="F1413" i="2" a="1"/>
  <c r="F1413" i="2" s="1"/>
  <c r="F1414" i="2" a="1"/>
  <c r="F1414" i="2" s="1"/>
  <c r="F1415" i="2" a="1"/>
  <c r="F1415" i="2" s="1"/>
  <c r="F1416" i="2" a="1"/>
  <c r="F1416" i="2" s="1"/>
  <c r="F1417" i="2" a="1"/>
  <c r="F1417" i="2" s="1"/>
  <c r="F1418" i="2" a="1"/>
  <c r="F1418" i="2" s="1"/>
  <c r="F1419" i="2" a="1"/>
  <c r="F1419" i="2" s="1"/>
  <c r="F1420" i="2" a="1"/>
  <c r="F1420" i="2" s="1"/>
  <c r="F1421" i="2" a="1"/>
  <c r="F1421" i="2" s="1"/>
  <c r="F1422" i="2" a="1"/>
  <c r="F1422" i="2" s="1"/>
  <c r="F1423" i="2" a="1"/>
  <c r="F1423" i="2" s="1"/>
  <c r="E9" i="14" l="1"/>
  <c r="AA10" i="14"/>
  <c r="E10" i="14" s="1"/>
  <c r="W9" i="14"/>
  <c r="Y8" i="14"/>
  <c r="Z8" i="14" s="1"/>
  <c r="Q8" i="14"/>
  <c r="R8" i="14" s="1"/>
  <c r="X9" i="12"/>
  <c r="Z8" i="12"/>
  <c r="AA8" i="12" s="1"/>
  <c r="P10" i="12"/>
  <c r="R9" i="12"/>
  <c r="S9" i="12" s="1"/>
  <c r="P10" i="11"/>
  <c r="R9" i="11"/>
  <c r="S9" i="11" s="1"/>
  <c r="Z8" i="11"/>
  <c r="AA8" i="11" s="1"/>
  <c r="X10" i="10"/>
  <c r="Z9" i="10"/>
  <c r="AA9" i="10" s="1"/>
  <c r="P10" i="10"/>
  <c r="R9" i="10"/>
  <c r="S9" i="10" s="1"/>
  <c r="P9" i="9"/>
  <c r="R8" i="9"/>
  <c r="S8" i="9" s="1"/>
  <c r="X9" i="9"/>
  <c r="Z8" i="9"/>
  <c r="AA8" i="9" s="1"/>
  <c r="W7" i="8"/>
  <c r="Y6" i="8"/>
  <c r="Z6" i="8" s="1"/>
  <c r="O6" i="8"/>
  <c r="Q5" i="8"/>
  <c r="R5" i="8" s="1"/>
  <c r="E6" i="7"/>
  <c r="F6" i="7" s="1"/>
  <c r="G6" i="7" s="1"/>
  <c r="B5" i="7"/>
  <c r="E5" i="7"/>
  <c r="F5" i="7" s="1"/>
  <c r="J2" i="4"/>
  <c r="E4" i="4"/>
  <c r="E2" i="4"/>
  <c r="R21" i="5"/>
  <c r="S21" i="5" s="1"/>
  <c r="R22" i="5"/>
  <c r="R23" i="5"/>
  <c r="I8" i="4"/>
  <c r="I7" i="4"/>
  <c r="I6" i="4"/>
  <c r="I5" i="4"/>
  <c r="I4" i="4"/>
  <c r="I3" i="4"/>
  <c r="I2" i="4"/>
  <c r="AA11" i="14" l="1"/>
  <c r="E11" i="14" s="1"/>
  <c r="Q9" i="14"/>
  <c r="R9" i="14" s="1"/>
  <c r="W10" i="14"/>
  <c r="Y9" i="14"/>
  <c r="Z9" i="14" s="1"/>
  <c r="P11" i="12"/>
  <c r="R10" i="12"/>
  <c r="S10" i="12" s="1"/>
  <c r="X10" i="12"/>
  <c r="Z9" i="12"/>
  <c r="AA9" i="12" s="1"/>
  <c r="Z9" i="11"/>
  <c r="AA9" i="11" s="1"/>
  <c r="P11" i="11"/>
  <c r="R10" i="11"/>
  <c r="S10" i="11" s="1"/>
  <c r="P11" i="10"/>
  <c r="R10" i="10"/>
  <c r="S10" i="10" s="1"/>
  <c r="X11" i="10"/>
  <c r="Z10" i="10"/>
  <c r="AA10" i="10" s="1"/>
  <c r="X10" i="9"/>
  <c r="Z9" i="9"/>
  <c r="AA9" i="9" s="1"/>
  <c r="R9" i="9"/>
  <c r="S9" i="9" s="1"/>
  <c r="P10" i="9"/>
  <c r="W8" i="8"/>
  <c r="Y7" i="8"/>
  <c r="Z7" i="8" s="1"/>
  <c r="O7" i="8"/>
  <c r="Q6" i="8"/>
  <c r="R6" i="8" s="1"/>
  <c r="M2" i="4"/>
  <c r="L2" i="4"/>
  <c r="K2" i="4"/>
  <c r="K2" i="8" s="1"/>
  <c r="L2" i="8" s="1"/>
  <c r="E2" i="8" s="1"/>
  <c r="E14" i="8" s="1"/>
  <c r="B6" i="7"/>
  <c r="G5" i="7"/>
  <c r="E7" i="7"/>
  <c r="F7" i="7" s="1"/>
  <c r="G7" i="7" s="1"/>
  <c r="B7" i="7"/>
  <c r="T21" i="5"/>
  <c r="J13" i="4"/>
  <c r="I13" i="4"/>
  <c r="J12" i="4"/>
  <c r="I12" i="4"/>
  <c r="J11" i="4"/>
  <c r="I11" i="4"/>
  <c r="J10" i="4"/>
  <c r="I10" i="4"/>
  <c r="J9" i="4"/>
  <c r="I9" i="4"/>
  <c r="I14" i="4" s="1"/>
  <c r="J8" i="4"/>
  <c r="J7" i="4"/>
  <c r="J6" i="4"/>
  <c r="J5" i="4"/>
  <c r="J4" i="4"/>
  <c r="J3" i="4"/>
  <c r="AA12" i="14" l="1"/>
  <c r="E12" i="14" s="1"/>
  <c r="AA13" i="14"/>
  <c r="E13" i="14" s="1"/>
  <c r="AA14" i="14"/>
  <c r="W11" i="14"/>
  <c r="Y10" i="14"/>
  <c r="Z10" i="14" s="1"/>
  <c r="Q10" i="14"/>
  <c r="R10" i="14" s="1"/>
  <c r="X11" i="12"/>
  <c r="Z10" i="12"/>
  <c r="AA10" i="12" s="1"/>
  <c r="P12" i="12"/>
  <c r="R11" i="12"/>
  <c r="S11" i="12" s="1"/>
  <c r="P12" i="11"/>
  <c r="R11" i="11"/>
  <c r="S11" i="11" s="1"/>
  <c r="Z10" i="11"/>
  <c r="AA10" i="11" s="1"/>
  <c r="X12" i="10"/>
  <c r="Z11" i="10"/>
  <c r="AA11" i="10" s="1"/>
  <c r="P12" i="10"/>
  <c r="R11" i="10"/>
  <c r="S11" i="10" s="1"/>
  <c r="P11" i="9"/>
  <c r="R10" i="9"/>
  <c r="S10" i="9" s="1"/>
  <c r="X11" i="9"/>
  <c r="Z10" i="9"/>
  <c r="AA10" i="9" s="1"/>
  <c r="W9" i="8"/>
  <c r="Y8" i="8"/>
  <c r="Z8" i="8" s="1"/>
  <c r="O8" i="8"/>
  <c r="Q7" i="8"/>
  <c r="R7" i="8" s="1"/>
  <c r="K3" i="4"/>
  <c r="L3" i="4"/>
  <c r="M3" i="4"/>
  <c r="K4" i="4"/>
  <c r="K4" i="8" s="1"/>
  <c r="L4" i="4"/>
  <c r="M4" i="4"/>
  <c r="K5" i="4"/>
  <c r="L5" i="4"/>
  <c r="M5" i="4"/>
  <c r="K6" i="4"/>
  <c r="L6" i="4"/>
  <c r="M6" i="4"/>
  <c r="K7" i="4"/>
  <c r="K7" i="8" s="1"/>
  <c r="L7" i="4"/>
  <c r="M7" i="4"/>
  <c r="K8" i="4"/>
  <c r="L8" i="4"/>
  <c r="M8" i="4"/>
  <c r="K9" i="4"/>
  <c r="L9" i="4"/>
  <c r="M9" i="4"/>
  <c r="K10" i="4"/>
  <c r="L10" i="4"/>
  <c r="M10" i="4"/>
  <c r="K11" i="4"/>
  <c r="L11" i="4"/>
  <c r="M11" i="4"/>
  <c r="K12" i="4"/>
  <c r="K12" i="8" s="1"/>
  <c r="L12" i="4"/>
  <c r="M12" i="4"/>
  <c r="K13" i="4"/>
  <c r="L13" i="4"/>
  <c r="M13" i="4"/>
  <c r="L14" i="8"/>
  <c r="E8" i="7"/>
  <c r="F8" i="7" s="1"/>
  <c r="G8" i="7" s="1"/>
  <c r="B8" i="7"/>
  <c r="J14" i="4"/>
  <c r="N2" i="2"/>
  <c r="E14" i="14" l="1"/>
  <c r="Q11" i="14"/>
  <c r="R11" i="14" s="1"/>
  <c r="W12" i="14"/>
  <c r="Y11" i="14"/>
  <c r="Z11" i="14" s="1"/>
  <c r="P13" i="12"/>
  <c r="R13" i="12" s="1"/>
  <c r="S13" i="12" s="1"/>
  <c r="R12" i="12"/>
  <c r="S12" i="12" s="1"/>
  <c r="X12" i="12"/>
  <c r="Z11" i="12"/>
  <c r="AA11" i="12" s="1"/>
  <c r="Z11" i="11"/>
  <c r="AA11" i="11" s="1"/>
  <c r="P13" i="11"/>
  <c r="R13" i="11" s="1"/>
  <c r="S13" i="11" s="1"/>
  <c r="R12" i="11"/>
  <c r="S12" i="11" s="1"/>
  <c r="P13" i="10"/>
  <c r="R13" i="10" s="1"/>
  <c r="S13" i="10" s="1"/>
  <c r="R12" i="10"/>
  <c r="S12" i="10" s="1"/>
  <c r="Z12" i="10"/>
  <c r="AA12" i="10" s="1"/>
  <c r="X13" i="10"/>
  <c r="Z13" i="10" s="1"/>
  <c r="AA13" i="10" s="1"/>
  <c r="Z11" i="9"/>
  <c r="AA11" i="9" s="1"/>
  <c r="X12" i="9"/>
  <c r="P12" i="9"/>
  <c r="R11" i="9"/>
  <c r="S11" i="9" s="1"/>
  <c r="W10" i="8"/>
  <c r="Y9" i="8"/>
  <c r="Z9" i="8" s="1"/>
  <c r="O9" i="8"/>
  <c r="Q8" i="8"/>
  <c r="R8" i="8" s="1"/>
  <c r="B9" i="7"/>
  <c r="E9" i="7"/>
  <c r="F9" i="7" s="1"/>
  <c r="G9" i="7" s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M2" i="2"/>
  <c r="O2" i="2" s="1"/>
  <c r="W13" i="14" l="1"/>
  <c r="Y13" i="14" s="1"/>
  <c r="Z13" i="14" s="1"/>
  <c r="Y12" i="14"/>
  <c r="Z12" i="14" s="1"/>
  <c r="Q12" i="14"/>
  <c r="R12" i="14" s="1"/>
  <c r="Q13" i="14"/>
  <c r="R13" i="14" s="1"/>
  <c r="X13" i="12"/>
  <c r="Z13" i="12" s="1"/>
  <c r="AA13" i="12" s="1"/>
  <c r="Z12" i="12"/>
  <c r="AA12" i="12" s="1"/>
  <c r="Z12" i="11"/>
  <c r="AA12" i="11" s="1"/>
  <c r="Z13" i="11"/>
  <c r="AA13" i="11" s="1"/>
  <c r="R12" i="9"/>
  <c r="S12" i="9" s="1"/>
  <c r="P13" i="9"/>
  <c r="R13" i="9" s="1"/>
  <c r="S13" i="9" s="1"/>
  <c r="Z12" i="9"/>
  <c r="AA12" i="9" s="1"/>
  <c r="X13" i="9"/>
  <c r="Z13" i="9" s="1"/>
  <c r="AA13" i="9" s="1"/>
  <c r="W11" i="8"/>
  <c r="Y10" i="8"/>
  <c r="Z10" i="8" s="1"/>
  <c r="S14" i="8"/>
  <c r="O10" i="8"/>
  <c r="Q9" i="8"/>
  <c r="R9" i="8" s="1"/>
  <c r="B10" i="7"/>
  <c r="E10" i="7"/>
  <c r="F10" i="7" s="1"/>
  <c r="G10" i="7" s="1"/>
  <c r="W12" i="8" l="1"/>
  <c r="Y11" i="8"/>
  <c r="Z11" i="8" s="1"/>
  <c r="O11" i="8"/>
  <c r="Q10" i="8"/>
  <c r="R10" i="8" s="1"/>
  <c r="B11" i="7"/>
  <c r="E11" i="7"/>
  <c r="F11" i="7" s="1"/>
  <c r="G11" i="7" s="1"/>
  <c r="W13" i="8" l="1"/>
  <c r="Y13" i="8" s="1"/>
  <c r="Z13" i="8" s="1"/>
  <c r="Y12" i="8"/>
  <c r="Z12" i="8" s="1"/>
  <c r="O12" i="8"/>
  <c r="Q11" i="8"/>
  <c r="R11" i="8" s="1"/>
  <c r="E12" i="7"/>
  <c r="F12" i="7" s="1"/>
  <c r="G12" i="7" s="1"/>
  <c r="B12" i="7"/>
  <c r="O13" i="8" l="1"/>
  <c r="Q13" i="8" s="1"/>
  <c r="R13" i="8" s="1"/>
  <c r="Q12" i="8"/>
  <c r="R12" i="8" s="1"/>
  <c r="E13" i="7"/>
  <c r="F13" i="7" s="1"/>
  <c r="G13" i="7" s="1"/>
  <c r="B1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 desconhecido</author>
  </authors>
  <commentList>
    <comment ref="C15" authorId="0" shapeId="0" xr:uid="{009C91C0-1363-48E8-A486-43045CD5C7AF}">
      <text>
        <r>
          <rPr>
            <sz val="10"/>
            <rFont val="Arial"/>
            <family val="2"/>
          </rPr>
          <t xml:space="preserve">iran:
</t>
        </r>
        <r>
          <rPr>
            <sz val="9"/>
            <color rgb="FF000000"/>
            <rFont val="Segoe UI"/>
            <family val="2"/>
            <charset val="1"/>
          </rPr>
          <t>valor de aquisição e ampliação</t>
        </r>
      </text>
    </comment>
    <comment ref="G18" authorId="0" shapeId="0" xr:uid="{F6200A59-EC5E-444E-AFA9-1E9454127763}">
      <text>
        <r>
          <rPr>
            <sz val="10"/>
            <rFont val="Arial"/>
            <family val="2"/>
          </rPr>
          <t xml:space="preserve">iran: </t>
        </r>
        <r>
          <rPr>
            <sz val="9"/>
            <color rgb="FF000000"/>
            <rFont val="Segoe UI"/>
            <family val="2"/>
            <charset val="1"/>
          </rPr>
          <t>custo para contratar equipe, pago no primeiro mês (janeiro) junto com salário.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<sst xmlns="http://schemas.openxmlformats.org/spreadsheetml/2006/main" count="463" uniqueCount="192">
  <si>
    <t>Data</t>
  </si>
  <si>
    <t>Descrição</t>
  </si>
  <si>
    <t>N° do Modelo</t>
  </si>
  <si>
    <t>Modelo</t>
  </si>
  <si>
    <t>Quantidade</t>
  </si>
  <si>
    <t>Entrada R$
(valor líquido da venda)</t>
  </si>
  <si>
    <t>Saída R$</t>
  </si>
  <si>
    <t>Região</t>
  </si>
  <si>
    <t>Produto</t>
  </si>
  <si>
    <t>Estoque Atual</t>
  </si>
  <si>
    <t>Faturamento Bruto 
(R$)</t>
  </si>
  <si>
    <t>Saídas totais 
(R$)</t>
  </si>
  <si>
    <t>Saldo total
(R$)</t>
  </si>
  <si>
    <t>Iphone 15 pro  MAX 256GB</t>
  </si>
  <si>
    <t>Samsung S24 256GB</t>
  </si>
  <si>
    <t>Samsung A54 256GB</t>
  </si>
  <si>
    <t>Samgung A34 256GB</t>
  </si>
  <si>
    <t>Previsão NexthPhone</t>
  </si>
  <si>
    <t>Quantidade necessária</t>
  </si>
  <si>
    <t>Lotes necessários</t>
  </si>
  <si>
    <t>Estoque atual</t>
  </si>
  <si>
    <t>Estoque final</t>
  </si>
  <si>
    <t>Lotes no estoque</t>
  </si>
  <si>
    <t>Custo armazém Mensal</t>
  </si>
  <si>
    <t>Custo de aquisição dos aparelhos</t>
  </si>
  <si>
    <t>Custo mensal</t>
  </si>
  <si>
    <t>Faturamento Bruto mensal
(Nacional)</t>
  </si>
  <si>
    <t>Custo total anual</t>
  </si>
  <si>
    <t>Faturamento Bruto anual 
(Nacional)</t>
  </si>
  <si>
    <t>Faturamento - custo</t>
  </si>
  <si>
    <t>Total de aparelhos ao mês</t>
  </si>
  <si>
    <t>Classificação</t>
  </si>
  <si>
    <t>Porcentagem</t>
  </si>
  <si>
    <t>Preço bruto nacional</t>
  </si>
  <si>
    <t>Preço de custo</t>
  </si>
  <si>
    <t>Premium</t>
  </si>
  <si>
    <t>Intermediário</t>
  </si>
  <si>
    <t>Básico</t>
  </si>
  <si>
    <t>Mês referência</t>
  </si>
  <si>
    <t>Quantidade de aparelhos</t>
  </si>
  <si>
    <t>Custo de compra dos aparelhos</t>
  </si>
  <si>
    <t>Faturamento</t>
  </si>
  <si>
    <t>Saldo total</t>
  </si>
  <si>
    <t>Capacidade do armazém</t>
  </si>
  <si>
    <t>Lotes a movimentar
sul/Sudeste</t>
  </si>
  <si>
    <t>QTDE necessária de equipes</t>
  </si>
  <si>
    <t>Custo total
Logistica 
sul/Sudeste</t>
  </si>
  <si>
    <t>Equipe comercial necessária
sul/sudeste</t>
  </si>
  <si>
    <t>Custos equipe comercial</t>
  </si>
  <si>
    <t>Unidades de celular</t>
  </si>
  <si>
    <t>ERB's necessárias</t>
  </si>
  <si>
    <t>ERB's Instaladas e disponíveis</t>
  </si>
  <si>
    <t>Ocupação</t>
  </si>
  <si>
    <t>Nível de Serviço</t>
  </si>
  <si>
    <t>custo das ERB's</t>
  </si>
  <si>
    <t>Equipes necessárias</t>
  </si>
  <si>
    <t>Postos de atendimento
Necessários</t>
  </si>
  <si>
    <t>Postos de atendimento disponíveis</t>
  </si>
  <si>
    <t>Nível de serviço</t>
  </si>
  <si>
    <t>Custo dos P.A's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</si>
  <si>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</si>
  <si>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</si>
  <si>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</si>
  <si>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</si>
  <si>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</si>
  <si>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</si>
  <si>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</si>
  <si>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</si>
  <si>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</si>
  <si>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</si>
  <si>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</si>
  <si>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</si>
  <si>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</si>
  <si>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total</t>
  </si>
  <si>
    <t>ID</t>
  </si>
  <si>
    <t>Modelos</t>
  </si>
  <si>
    <t>Preço Nacional</t>
  </si>
  <si>
    <t>Impostos</t>
  </si>
  <si>
    <t>faturamento líquido das vendas (nacional)</t>
  </si>
  <si>
    <t>Custo do pacote de serviço</t>
  </si>
  <si>
    <t>Preço por região:
SUL/SUDESTE</t>
  </si>
  <si>
    <t>Faturamento região SUL/SUDESTE</t>
  </si>
  <si>
    <t>Preço por região:
NORDESTE</t>
  </si>
  <si>
    <t>Faturamento região:
NORDESTE</t>
  </si>
  <si>
    <t>Preço por região:
NORTE/C.OESTE</t>
  </si>
  <si>
    <t>Faturamento região:
NORTE/CENTRO-OESTE</t>
  </si>
  <si>
    <t>Mês</t>
  </si>
  <si>
    <t>Previsão de Vendas totais  MM 2024</t>
  </si>
  <si>
    <t>Demanda Nacional</t>
  </si>
  <si>
    <t>Market share</t>
  </si>
  <si>
    <t>Meta (mês)</t>
  </si>
  <si>
    <t>Previsão E-commerce total 2024
(portentagem de referência 2023)</t>
  </si>
  <si>
    <t>unidades por região:
Sul/sudeste (45%)</t>
  </si>
  <si>
    <t>unidades por região:
Nordeste (30%)</t>
  </si>
  <si>
    <t>unidades por região:
Norte/centro-Oeste (25%)</t>
  </si>
  <si>
    <t>DEMANDA MÉDIA 2024:</t>
  </si>
  <si>
    <t>32.299.180</t>
  </si>
  <si>
    <t>VALOR DA FRANQUIA PARA ATUAÇÃO NAS REGIÕES DO BRASIL</t>
  </si>
  <si>
    <t>DEMANDA ANUAL NACIONAL - PESQUISA DE CADA EMPRESA</t>
  </si>
  <si>
    <t>REGIÃO</t>
  </si>
  <si>
    <t xml:space="preserve">VALOR </t>
  </si>
  <si>
    <t>APÓS A PESQUISA DE DEMANDA SERÁ DEFINIDA A DEMANDA MÉDIA NACIONAL. A DEMANDA REGIONAL E POR APARELHOS SERÁ DEFINIDA POR CADA EMPRESA.</t>
  </si>
  <si>
    <t>SUL/SUDESTE</t>
  </si>
  <si>
    <t>NORDESTE</t>
  </si>
  <si>
    <t>PREÇOS DOS CELULARES - PESQUISA DE CADA EMPRESA.</t>
  </si>
  <si>
    <t>NORTE/C.OESTE</t>
  </si>
  <si>
    <t>APÓS A PESQUISA DE PREÇOS DOS CELULARES, SERÁ DEFINIDO O PREÇO ÚNICO DE COMPRA NACIONAL PARA CADA UM DOS 4 APARELHOS. O PREÇO DE VENDA REGIONAL SERÁ DEFINIDO POR CADA EMPRESA.</t>
  </si>
  <si>
    <t>CUSTO ARMAZÉM</t>
  </si>
  <si>
    <t>1 LOTE = 5000 CELULARES</t>
  </si>
  <si>
    <t>CÂMBIO E INFLAÇÃO PODEM SER UTILIZADOS OS VALORES E PROJEÇÕES DESTE ANO DE 2024</t>
  </si>
  <si>
    <t>CAPACIDADE ARMAZÉM Nº LOTES</t>
  </si>
  <si>
    <t xml:space="preserve">AQUISIÇÃO </t>
  </si>
  <si>
    <t>MANUTENÇÃO MENSAL</t>
  </si>
  <si>
    <t>CUSTO EQUIPES FUNCIONÁRIOS</t>
  </si>
  <si>
    <t>1 EQUIPE = 10 FUNCIONÁRIOS</t>
  </si>
  <si>
    <t>CONTRATAÇÃO</t>
  </si>
  <si>
    <t>TREINAMENTO</t>
  </si>
  <si>
    <t>SALÁRIO MENSAL</t>
  </si>
  <si>
    <t>LOGÍSTICA</t>
  </si>
  <si>
    <t>COMERCIAL</t>
  </si>
  <si>
    <t>INFRAESTRUTURA</t>
  </si>
  <si>
    <t>1 EQUIPE LOGÍSTICA MOVIMENTA 10 LOTES</t>
  </si>
  <si>
    <t>1 EQUIPE COMERCIAL VENDE 5 LOTES</t>
  </si>
  <si>
    <t>1 EQUIPE INFRAESTRUTURA INSTALA E MANTÉM 5 ERBs/MÊS</t>
  </si>
  <si>
    <t>VALOR DOS PACOTES DE SERVIÇO</t>
  </si>
  <si>
    <t>POSTO DE ATENDIMENTO (PA)</t>
  </si>
  <si>
    <t>1 PA = 10 ATENDENTES</t>
  </si>
  <si>
    <t>NÍVEL DE SERVIÇO PAs</t>
  </si>
  <si>
    <t>NÍVEL DE OCUPAÇÃO</t>
  </si>
  <si>
    <t>MODELO CELULAR</t>
  </si>
  <si>
    <t>VALOR</t>
  </si>
  <si>
    <t>NÍVEL 5</t>
  </si>
  <si>
    <t>&lt; 49%</t>
  </si>
  <si>
    <t>IMPORTADO + CARO</t>
  </si>
  <si>
    <t>CUSTO MÊS 1 PA</t>
  </si>
  <si>
    <t>NÍVEL 4</t>
  </si>
  <si>
    <t>ENTRE 50 E 64%</t>
  </si>
  <si>
    <t>NACIONAL + CARO</t>
  </si>
  <si>
    <t>1 PA ATENDE 27.000 CLIENTES</t>
  </si>
  <si>
    <t>NÍVEL 3</t>
  </si>
  <si>
    <t>ENTRE 65 E 74%</t>
  </si>
  <si>
    <t>IMPORTADO + BARATO</t>
  </si>
  <si>
    <t>NÍVEL 2</t>
  </si>
  <si>
    <t>ENTRE 75 A 89%</t>
  </si>
  <si>
    <t>NÍVEL DE SERVIÇO GERAL É A MÉDIA GERAL ENTRE OS DOIS NÍVEIS DE SERVIÇO</t>
  </si>
  <si>
    <t>NACIONAL + BARATO</t>
  </si>
  <si>
    <t>NÍVEL 1</t>
  </si>
  <si>
    <t>&gt; 90%</t>
  </si>
  <si>
    <t>ERB (ESTAÇÃO RÁDIO BASE)</t>
  </si>
  <si>
    <t>CUSTO DE INSTALAÇÃO 1 ERB</t>
  </si>
  <si>
    <t>NÍVEL DE SERVIÇO ERBs</t>
  </si>
  <si>
    <t>EXCELENTE</t>
  </si>
  <si>
    <t>VARIAÇÃO PREÇO DE VENDA</t>
  </si>
  <si>
    <t>&lt; 50%</t>
  </si>
  <si>
    <t>BOM</t>
  </si>
  <si>
    <t>Máximo</t>
  </si>
  <si>
    <t>até 30% maior do que o preço médio</t>
  </si>
  <si>
    <t>QTDE DE CLIENTES SUPORTADOS POR UMA ERB POR REGIÃO</t>
  </si>
  <si>
    <t>ENTRE 50,01 E 60%</t>
  </si>
  <si>
    <t>REGULAR</t>
  </si>
  <si>
    <t>Minímo</t>
  </si>
  <si>
    <t>até 10% menor do que o preço médio</t>
  </si>
  <si>
    <t>QTD CELULARES</t>
  </si>
  <si>
    <t>ENTRE 60,01 E 75%</t>
  </si>
  <si>
    <t>RUIM</t>
  </si>
  <si>
    <t>SUL / SUDESTE</t>
  </si>
  <si>
    <t>ENTRE 75,01 A 85%</t>
  </si>
  <si>
    <t>PÉSSIMO</t>
  </si>
  <si>
    <t>Valor de impostos:</t>
  </si>
  <si>
    <t>30% do preço de compra nacional</t>
  </si>
  <si>
    <t>&gt; 85,01%</t>
  </si>
  <si>
    <t>40% do preço de compra importado</t>
  </si>
  <si>
    <t>CENTRO-OESTE / NORTE</t>
  </si>
  <si>
    <t>PROPORÇÃO ENTRE PREÇO DE COMPRA E VENDA</t>
  </si>
  <si>
    <t>Aparelho</t>
  </si>
  <si>
    <t>Preço de Venda Médio</t>
  </si>
  <si>
    <t>Preço de Compra</t>
  </si>
  <si>
    <t>Nacional mais barato</t>
  </si>
  <si>
    <t>Nacional mais caro</t>
  </si>
  <si>
    <t>Importado mais barato</t>
  </si>
  <si>
    <t>Importado mais caro</t>
  </si>
  <si>
    <t>Unidades</t>
  </si>
  <si>
    <t>Iphone 15 pro  MAX(
QTDE)</t>
  </si>
  <si>
    <t>S24 
(QTDE)</t>
  </si>
  <si>
    <t>Custo do PA por aparelho</t>
  </si>
  <si>
    <t>Custo ERB por celular Sul/sdst</t>
  </si>
  <si>
    <t>Preço de custo com imposto</t>
  </si>
  <si>
    <t>iphone</t>
  </si>
  <si>
    <t>s24</t>
  </si>
  <si>
    <t>Custos das equipes</t>
  </si>
  <si>
    <t>% de iphones</t>
  </si>
  <si>
    <t>Lotes a movimentar
Nordeste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</si>
</sst>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0.0%"/>
    <numFmt numFmtId="166" formatCode="_-[$R$-416]\ * #,##0.00_-;\-[$R$-416]\ * #,##0.00_-;_-[$R$-416]\ * \-??_-;_-@_-"/>
    <numFmt numFmtId="167" formatCode="_-&quot;R$ &quot;* #,##0.00_-;&quot;-R$ &quot;* #,##0.00_-;_-&quot;R$ &quot;* \-??_-;_-@_-"/>
    <numFmt numFmtId="168" formatCode="&quot;R$&quot;#,##0.00"/>
    <numFmt numFmtId="169" formatCode="&quot;R$ &quot;#,##0.00;[Red]&quot;-R$ &quot;#,##0.00"/>
    <numFmt numFmtId="170" formatCode="&quot;R$&quot;\ #,##0"/>
    <numFmt numFmtId="171" formatCode="#,##0.00;[Red]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name val="Arial"/>
      <family val="2"/>
    </font>
    <font>
      <sz val="9"/>
      <color rgb="FF000000"/>
      <name val="Segoe U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B0F0"/>
        <bgColor rgb="FF33CCCC"/>
      </patternFill>
    </fill>
    <fill>
      <patternFill patternType="solid">
        <fgColor theme="7" tint="0.59987182226020086"/>
        <bgColor rgb="FFFFD966"/>
      </patternFill>
    </fill>
    <fill>
      <patternFill patternType="solid">
        <fgColor theme="9" tint="0.59987182226020086"/>
        <bgColor rgb="FFC9C9C9"/>
      </patternFill>
    </fill>
    <fill>
      <patternFill patternType="solid">
        <fgColor theme="5" tint="0.59987182226020086"/>
        <bgColor rgb="FFFFE699"/>
      </patternFill>
    </fill>
    <fill>
      <patternFill patternType="solid">
        <fgColor theme="6" tint="0.39988402966399123"/>
        <bgColor rgb="FFBDD7EE"/>
      </patternFill>
    </fill>
    <fill>
      <patternFill patternType="solid">
        <fgColor theme="7" tint="0.39988402966399123"/>
        <bgColor rgb="FFFFE699"/>
      </patternFill>
    </fill>
    <fill>
      <patternFill patternType="solid">
        <fgColor theme="4" tint="0.59987182226020086"/>
        <bgColor rgb="FFC9C9C9"/>
      </patternFill>
    </fill>
    <fill>
      <patternFill patternType="solid">
        <fgColor rgb="FFFFFF00"/>
        <bgColor rgb="FFFFFF00"/>
      </patternFill>
    </fill>
    <fill>
      <patternFill patternType="solid">
        <fgColor rgb="FFF4B084"/>
        <bgColor rgb="FFF8CBAD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167" fontId="2" fillId="0" borderId="0" applyBorder="0" applyProtection="0"/>
    <xf numFmtId="44" fontId="1" fillId="0" borderId="0" applyFon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vertical="center"/>
    </xf>
    <xf numFmtId="3" fontId="0" fillId="0" borderId="0" xfId="0" applyNumberFormat="1"/>
    <xf numFmtId="165" fontId="0" fillId="0" borderId="0" xfId="1" applyNumberFormat="1" applyFont="1"/>
    <xf numFmtId="10" fontId="0" fillId="0" borderId="0" xfId="0" applyNumberFormat="1"/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3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2" borderId="0" xfId="0" applyFill="1"/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9" fontId="0" fillId="0" borderId="0" xfId="0" applyNumberFormat="1"/>
    <xf numFmtId="0" fontId="3" fillId="3" borderId="0" xfId="2" applyFont="1" applyFill="1"/>
    <xf numFmtId="2" fontId="4" fillId="3" borderId="0" xfId="2" applyNumberFormat="1" applyFont="1" applyFill="1"/>
    <xf numFmtId="0" fontId="2" fillId="0" borderId="0" xfId="2"/>
    <xf numFmtId="0" fontId="4" fillId="5" borderId="11" xfId="2" applyFont="1" applyFill="1" applyBorder="1" applyAlignment="1">
      <alignment horizontal="left" indent="1"/>
    </xf>
    <xf numFmtId="0" fontId="4" fillId="5" borderId="12" xfId="2" applyFont="1" applyFill="1" applyBorder="1"/>
    <xf numFmtId="0" fontId="4" fillId="5" borderId="13" xfId="2" applyFont="1" applyFill="1" applyBorder="1"/>
    <xf numFmtId="0" fontId="4" fillId="5" borderId="14" xfId="2" applyFont="1" applyFill="1" applyBorder="1"/>
    <xf numFmtId="0" fontId="4" fillId="5" borderId="0" xfId="2" applyFont="1" applyFill="1"/>
    <xf numFmtId="0" fontId="4" fillId="5" borderId="15" xfId="2" applyFont="1" applyFill="1" applyBorder="1"/>
    <xf numFmtId="0" fontId="4" fillId="4" borderId="14" xfId="2" applyFont="1" applyFill="1" applyBorder="1" applyAlignment="1">
      <alignment horizontal="center"/>
    </xf>
    <xf numFmtId="0" fontId="4" fillId="4" borderId="15" xfId="2" applyFont="1" applyFill="1" applyBorder="1" applyAlignment="1">
      <alignment horizontal="center" vertical="center"/>
    </xf>
    <xf numFmtId="0" fontId="2" fillId="4" borderId="14" xfId="2" applyFill="1" applyBorder="1" applyAlignment="1">
      <alignment horizontal="left" vertical="center" indent="1"/>
    </xf>
    <xf numFmtId="166" fontId="2" fillId="4" borderId="15" xfId="2" applyNumberFormat="1" applyFill="1" applyBorder="1" applyAlignment="1">
      <alignment horizontal="left" vertical="center"/>
    </xf>
    <xf numFmtId="0" fontId="4" fillId="5" borderId="14" xfId="2" applyFont="1" applyFill="1" applyBorder="1" applyAlignment="1">
      <alignment horizontal="left" indent="1"/>
    </xf>
    <xf numFmtId="0" fontId="2" fillId="4" borderId="17" xfId="2" applyFill="1" applyBorder="1" applyAlignment="1">
      <alignment horizontal="left" vertical="center" indent="1"/>
    </xf>
    <xf numFmtId="166" fontId="2" fillId="4" borderId="18" xfId="2" applyNumberFormat="1" applyFill="1" applyBorder="1" applyAlignment="1">
      <alignment horizontal="left" vertical="center"/>
    </xf>
    <xf numFmtId="0" fontId="4" fillId="6" borderId="14" xfId="2" applyFont="1" applyFill="1" applyBorder="1" applyAlignment="1">
      <alignment horizontal="left" vertical="center" indent="1"/>
    </xf>
    <xf numFmtId="0" fontId="2" fillId="6" borderId="0" xfId="2" applyFill="1"/>
    <xf numFmtId="0" fontId="2" fillId="6" borderId="15" xfId="2" applyFill="1" applyBorder="1"/>
    <xf numFmtId="0" fontId="4" fillId="5" borderId="14" xfId="2" applyFont="1" applyFill="1" applyBorder="1" applyAlignment="1">
      <alignment horizontal="left" vertical="top"/>
    </xf>
    <xf numFmtId="0" fontId="4" fillId="5" borderId="0" xfId="2" applyFont="1" applyFill="1" applyAlignment="1">
      <alignment horizontal="left" vertical="top"/>
    </xf>
    <xf numFmtId="0" fontId="4" fillId="5" borderId="15" xfId="2" applyFont="1" applyFill="1" applyBorder="1" applyAlignment="1">
      <alignment horizontal="left" vertical="top"/>
    </xf>
    <xf numFmtId="0" fontId="2" fillId="6" borderId="14" xfId="2" applyFill="1" applyBorder="1"/>
    <xf numFmtId="0" fontId="4" fillId="5" borderId="17" xfId="2" applyFont="1" applyFill="1" applyBorder="1" applyAlignment="1">
      <alignment horizontal="left" indent="1"/>
    </xf>
    <xf numFmtId="0" fontId="4" fillId="5" borderId="19" xfId="2" applyFont="1" applyFill="1" applyBorder="1"/>
    <xf numFmtId="0" fontId="4" fillId="5" borderId="18" xfId="2" applyFont="1" applyFill="1" applyBorder="1"/>
    <xf numFmtId="0" fontId="4" fillId="6" borderId="14" xfId="2" applyFont="1" applyFill="1" applyBorder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4" fillId="6" borderId="15" xfId="2" applyFont="1" applyFill="1" applyBorder="1" applyAlignment="1">
      <alignment horizontal="center" vertical="center" wrapText="1"/>
    </xf>
    <xf numFmtId="0" fontId="2" fillId="6" borderId="14" xfId="2" applyFill="1" applyBorder="1" applyAlignment="1">
      <alignment horizontal="center" vertical="center"/>
    </xf>
    <xf numFmtId="167" fontId="0" fillId="6" borderId="0" xfId="3" applyFont="1" applyFill="1" applyBorder="1" applyAlignment="1" applyProtection="1">
      <alignment horizontal="center" vertical="center"/>
    </xf>
    <xf numFmtId="167" fontId="0" fillId="6" borderId="15" xfId="3" applyFont="1" applyFill="1" applyBorder="1" applyAlignment="1" applyProtection="1">
      <alignment horizontal="center" vertical="center"/>
    </xf>
    <xf numFmtId="0" fontId="4" fillId="7" borderId="14" xfId="2" applyFont="1" applyFill="1" applyBorder="1" applyAlignment="1">
      <alignment horizontal="left" vertical="center" indent="1"/>
    </xf>
    <xf numFmtId="0" fontId="2" fillId="7" borderId="0" xfId="2" applyFill="1" applyAlignment="1">
      <alignment vertical="center"/>
    </xf>
    <xf numFmtId="0" fontId="2" fillId="7" borderId="15" xfId="2" applyFill="1" applyBorder="1" applyAlignment="1">
      <alignment vertical="center"/>
    </xf>
    <xf numFmtId="0" fontId="2" fillId="7" borderId="14" xfId="2" applyFill="1" applyBorder="1" applyAlignment="1">
      <alignment vertical="center"/>
    </xf>
    <xf numFmtId="0" fontId="4" fillId="7" borderId="0" xfId="2" applyFont="1" applyFill="1" applyAlignment="1">
      <alignment horizontal="center" vertical="center"/>
    </xf>
    <xf numFmtId="0" fontId="4" fillId="7" borderId="15" xfId="2" applyFont="1" applyFill="1" applyBorder="1" applyAlignment="1">
      <alignment horizontal="center" vertical="center"/>
    </xf>
    <xf numFmtId="0" fontId="4" fillId="7" borderId="14" xfId="2" applyFont="1" applyFill="1" applyBorder="1" applyAlignment="1">
      <alignment horizontal="left" vertical="center" indent="8"/>
    </xf>
    <xf numFmtId="167" fontId="0" fillId="7" borderId="0" xfId="3" applyFont="1" applyFill="1" applyBorder="1" applyAlignment="1" applyProtection="1">
      <alignment horizontal="center" vertical="center"/>
    </xf>
    <xf numFmtId="167" fontId="0" fillId="7" borderId="15" xfId="3" applyFont="1" applyFill="1" applyBorder="1" applyAlignment="1" applyProtection="1">
      <alignment horizontal="center" vertical="center"/>
    </xf>
    <xf numFmtId="0" fontId="4" fillId="7" borderId="0" xfId="2" applyFont="1" applyFill="1" applyAlignment="1">
      <alignment horizontal="left" vertical="center" indent="1"/>
    </xf>
    <xf numFmtId="0" fontId="4" fillId="7" borderId="0" xfId="2" applyFont="1" applyFill="1" applyAlignment="1">
      <alignment vertical="center"/>
    </xf>
    <xf numFmtId="0" fontId="2" fillId="6" borderId="17" xfId="2" applyFill="1" applyBorder="1" applyAlignment="1">
      <alignment horizontal="center" vertical="center"/>
    </xf>
    <xf numFmtId="167" fontId="0" fillId="6" borderId="19" xfId="3" applyFont="1" applyFill="1" applyBorder="1" applyAlignment="1" applyProtection="1">
      <alignment horizontal="center" vertical="center"/>
    </xf>
    <xf numFmtId="167" fontId="0" fillId="6" borderId="18" xfId="3" applyFont="1" applyFill="1" applyBorder="1" applyAlignment="1" applyProtection="1">
      <alignment horizontal="center" vertical="center"/>
    </xf>
    <xf numFmtId="0" fontId="2" fillId="7" borderId="15" xfId="2" applyFill="1" applyBorder="1" applyAlignment="1">
      <alignment horizontal="center" vertical="center"/>
    </xf>
    <xf numFmtId="0" fontId="4" fillId="7" borderId="17" xfId="2" applyFont="1" applyFill="1" applyBorder="1" applyAlignment="1">
      <alignment horizontal="left" vertical="center" indent="1"/>
    </xf>
    <xf numFmtId="0" fontId="4" fillId="7" borderId="19" xfId="2" applyFont="1" applyFill="1" applyBorder="1" applyAlignment="1">
      <alignment horizontal="left" vertical="center" indent="1"/>
    </xf>
    <xf numFmtId="0" fontId="4" fillId="7" borderId="19" xfId="2" applyFont="1" applyFill="1" applyBorder="1" applyAlignment="1">
      <alignment vertical="center"/>
    </xf>
    <xf numFmtId="0" fontId="2" fillId="7" borderId="18" xfId="2" applyFill="1" applyBorder="1" applyAlignment="1">
      <alignment vertical="center"/>
    </xf>
    <xf numFmtId="0" fontId="4" fillId="9" borderId="11" xfId="2" applyFont="1" applyFill="1" applyBorder="1" applyAlignment="1">
      <alignment horizontal="left" indent="1"/>
    </xf>
    <xf numFmtId="0" fontId="2" fillId="9" borderId="12" xfId="2" applyFill="1" applyBorder="1"/>
    <xf numFmtId="0" fontId="2" fillId="9" borderId="13" xfId="2" applyFill="1" applyBorder="1"/>
    <xf numFmtId="0" fontId="2" fillId="8" borderId="14" xfId="2" applyFill="1" applyBorder="1"/>
    <xf numFmtId="0" fontId="2" fillId="8" borderId="0" xfId="2" applyFill="1"/>
    <xf numFmtId="0" fontId="2" fillId="8" borderId="15" xfId="2" applyFill="1" applyBorder="1"/>
    <xf numFmtId="0" fontId="2" fillId="9" borderId="14" xfId="2" applyFill="1" applyBorder="1" applyAlignment="1">
      <alignment horizontal="left" indent="1"/>
    </xf>
    <xf numFmtId="0" fontId="2" fillId="9" borderId="0" xfId="2" applyFill="1"/>
    <xf numFmtId="0" fontId="4" fillId="9" borderId="0" xfId="2" applyFont="1" applyFill="1" applyAlignment="1">
      <alignment horizontal="center" vertical="center"/>
    </xf>
    <xf numFmtId="0" fontId="2" fillId="9" borderId="15" xfId="2" applyFill="1" applyBorder="1"/>
    <xf numFmtId="0" fontId="4" fillId="8" borderId="15" xfId="2" applyFont="1" applyFill="1" applyBorder="1" applyAlignment="1">
      <alignment horizontal="center" vertical="center"/>
    </xf>
    <xf numFmtId="0" fontId="2" fillId="9" borderId="0" xfId="2" applyFill="1" applyAlignment="1">
      <alignment horizontal="center" vertical="center"/>
    </xf>
    <xf numFmtId="167" fontId="0" fillId="8" borderId="15" xfId="3" applyFont="1" applyFill="1" applyBorder="1" applyProtection="1"/>
    <xf numFmtId="167" fontId="0" fillId="9" borderId="0" xfId="3" applyFont="1" applyFill="1" applyBorder="1" applyProtection="1"/>
    <xf numFmtId="0" fontId="2" fillId="9" borderId="14" xfId="2" applyFill="1" applyBorder="1"/>
    <xf numFmtId="167" fontId="0" fillId="8" borderId="18" xfId="3" applyFont="1" applyFill="1" applyBorder="1" applyProtection="1"/>
    <xf numFmtId="0" fontId="2" fillId="0" borderId="0" xfId="2" applyAlignment="1">
      <alignment horizontal="center"/>
    </xf>
    <xf numFmtId="168" fontId="2" fillId="0" borderId="0" xfId="2" applyNumberFormat="1"/>
    <xf numFmtId="0" fontId="4" fillId="9" borderId="14" xfId="2" applyFont="1" applyFill="1" applyBorder="1" applyAlignment="1">
      <alignment horizontal="left" indent="1"/>
    </xf>
    <xf numFmtId="0" fontId="2" fillId="9" borderId="0" xfId="2" applyFill="1" applyAlignment="1">
      <alignment horizontal="center"/>
    </xf>
    <xf numFmtId="0" fontId="2" fillId="10" borderId="11" xfId="2" applyFill="1" applyBorder="1" applyAlignment="1">
      <alignment horizontal="left" indent="4"/>
    </xf>
    <xf numFmtId="0" fontId="2" fillId="10" borderId="12" xfId="2" applyFill="1" applyBorder="1"/>
    <xf numFmtId="0" fontId="2" fillId="10" borderId="13" xfId="2" applyFill="1" applyBorder="1"/>
    <xf numFmtId="0" fontId="2" fillId="10" borderId="14" xfId="2" applyFill="1" applyBorder="1" applyAlignment="1">
      <alignment horizontal="right" indent="4"/>
    </xf>
    <xf numFmtId="0" fontId="2" fillId="10" borderId="0" xfId="2" applyFill="1"/>
    <xf numFmtId="0" fontId="2" fillId="10" borderId="15" xfId="2" applyFill="1" applyBorder="1"/>
    <xf numFmtId="0" fontId="4" fillId="9" borderId="0" xfId="2" applyFont="1" applyFill="1"/>
    <xf numFmtId="0" fontId="4" fillId="9" borderId="14" xfId="2" applyFont="1" applyFill="1" applyBorder="1" applyAlignment="1">
      <alignment horizontal="center" vertical="center"/>
    </xf>
    <xf numFmtId="0" fontId="2" fillId="10" borderId="14" xfId="2" applyFill="1" applyBorder="1" applyAlignment="1">
      <alignment horizontal="left" indent="4"/>
    </xf>
    <xf numFmtId="3" fontId="2" fillId="9" borderId="0" xfId="2" applyNumberFormat="1" applyFill="1" applyAlignment="1">
      <alignment horizontal="center" vertical="center"/>
    </xf>
    <xf numFmtId="0" fontId="2" fillId="10" borderId="17" xfId="2" applyFill="1" applyBorder="1"/>
    <xf numFmtId="0" fontId="2" fillId="10" borderId="19" xfId="2" applyFill="1" applyBorder="1"/>
    <xf numFmtId="0" fontId="2" fillId="10" borderId="18" xfId="2" applyFill="1" applyBorder="1"/>
    <xf numFmtId="0" fontId="2" fillId="9" borderId="17" xfId="2" applyFill="1" applyBorder="1"/>
    <xf numFmtId="0" fontId="2" fillId="9" borderId="19" xfId="2" applyFill="1" applyBorder="1"/>
    <xf numFmtId="0" fontId="2" fillId="9" borderId="18" xfId="2" applyFill="1" applyBorder="1"/>
    <xf numFmtId="0" fontId="5" fillId="11" borderId="14" xfId="2" applyFont="1" applyFill="1" applyBorder="1" applyAlignment="1">
      <alignment horizontal="center" vertical="center"/>
    </xf>
    <xf numFmtId="0" fontId="5" fillId="11" borderId="0" xfId="2" applyFont="1" applyFill="1" applyAlignment="1">
      <alignment horizontal="center" vertical="center"/>
    </xf>
    <xf numFmtId="0" fontId="5" fillId="11" borderId="15" xfId="2" applyFont="1" applyFill="1" applyBorder="1" applyAlignment="1">
      <alignment horizontal="center" vertical="center"/>
    </xf>
    <xf numFmtId="0" fontId="5" fillId="11" borderId="14" xfId="2" applyFont="1" applyFill="1" applyBorder="1"/>
    <xf numFmtId="169" fontId="5" fillId="11" borderId="0" xfId="2" applyNumberFormat="1" applyFont="1" applyFill="1"/>
    <xf numFmtId="169" fontId="5" fillId="11" borderId="15" xfId="2" applyNumberFormat="1" applyFont="1" applyFill="1" applyBorder="1"/>
    <xf numFmtId="0" fontId="5" fillId="11" borderId="17" xfId="2" applyFont="1" applyFill="1" applyBorder="1"/>
    <xf numFmtId="169" fontId="5" fillId="11" borderId="19" xfId="2" applyNumberFormat="1" applyFont="1" applyFill="1" applyBorder="1"/>
    <xf numFmtId="169" fontId="5" fillId="11" borderId="18" xfId="2" applyNumberFormat="1" applyFont="1" applyFill="1" applyBorder="1"/>
    <xf numFmtId="169" fontId="2" fillId="0" borderId="0" xfId="2" applyNumberFormat="1"/>
    <xf numFmtId="164" fontId="0" fillId="0" borderId="0" xfId="0" applyNumberFormat="1" applyAlignment="1">
      <alignment horizontal="center" vertical="center" wrapText="1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43" fontId="0" fillId="0" borderId="0" xfId="0" applyNumberFormat="1"/>
    <xf numFmtId="164" fontId="0" fillId="0" borderId="0" xfId="0" applyNumberFormat="1" applyAlignment="1">
      <alignment horizontal="center" vertical="center"/>
    </xf>
    <xf numFmtId="44" fontId="0" fillId="0" borderId="0" xfId="4" applyFont="1"/>
    <xf numFmtId="44" fontId="0" fillId="0" borderId="0" xfId="4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0" fontId="0" fillId="0" borderId="20" xfId="4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167" fontId="0" fillId="0" borderId="0" xfId="3" applyFont="1" applyBorder="1" applyAlignment="1" applyProtection="1">
      <alignment horizontal="center" vertical="center"/>
    </xf>
    <xf numFmtId="0" fontId="4" fillId="0" borderId="0" xfId="2" applyFont="1" applyAlignment="1">
      <alignment horizontal="left" vertical="center" indent="1"/>
    </xf>
    <xf numFmtId="0" fontId="2" fillId="0" borderId="0" xfId="2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0" fontId="0" fillId="12" borderId="24" xfId="0" applyFill="1" applyBorder="1" applyAlignment="1">
      <alignment horizontal="center" vertical="center" wrapText="1"/>
    </xf>
    <xf numFmtId="0" fontId="0" fillId="12" borderId="24" xfId="0" applyFill="1" applyBorder="1" applyAlignment="1">
      <alignment horizontal="center" vertical="center"/>
    </xf>
    <xf numFmtId="0" fontId="0" fillId="12" borderId="25" xfId="0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23" xfId="0" applyFill="1" applyBorder="1" applyAlignment="1">
      <alignment horizontal="center" vertical="center" wrapText="1"/>
    </xf>
    <xf numFmtId="1" fontId="0" fillId="12" borderId="24" xfId="0" applyNumberFormat="1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64" fontId="0" fillId="12" borderId="0" xfId="4" applyNumberFormat="1" applyFont="1" applyFill="1" applyBorder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44" fontId="0" fillId="12" borderId="22" xfId="4" applyFont="1" applyFill="1" applyBorder="1" applyAlignment="1">
      <alignment horizontal="center" vertical="center"/>
    </xf>
    <xf numFmtId="44" fontId="0" fillId="12" borderId="0" xfId="4" applyFont="1" applyFill="1" applyBorder="1" applyAlignment="1">
      <alignment horizontal="center" vertical="center"/>
    </xf>
    <xf numFmtId="1" fontId="0" fillId="12" borderId="21" xfId="0" applyNumberFormat="1" applyFill="1" applyBorder="1" applyAlignment="1">
      <alignment horizontal="center" vertical="center"/>
    </xf>
    <xf numFmtId="0" fontId="0" fillId="12" borderId="0" xfId="1" applyNumberFormat="1" applyFon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0" fontId="0" fillId="12" borderId="27" xfId="0" applyFill="1" applyBorder="1" applyAlignment="1">
      <alignment horizontal="center" vertical="center"/>
    </xf>
    <xf numFmtId="164" fontId="0" fillId="12" borderId="27" xfId="0" applyNumberFormat="1" applyFill="1" applyBorder="1" applyAlignment="1">
      <alignment horizontal="center" vertical="center"/>
    </xf>
    <xf numFmtId="44" fontId="0" fillId="12" borderId="28" xfId="0" applyNumberFormat="1" applyFill="1" applyBorder="1" applyAlignment="1">
      <alignment horizontal="center" vertical="center"/>
    </xf>
    <xf numFmtId="44" fontId="0" fillId="12" borderId="0" xfId="0" applyNumberFormat="1" applyFill="1" applyAlignment="1">
      <alignment horizontal="center" vertical="center"/>
    </xf>
    <xf numFmtId="44" fontId="0" fillId="12" borderId="27" xfId="0" applyNumberFormat="1" applyFill="1" applyBorder="1" applyAlignment="1">
      <alignment horizontal="center" vertical="center"/>
    </xf>
    <xf numFmtId="10" fontId="0" fillId="0" borderId="0" xfId="1" applyNumberFormat="1" applyFont="1"/>
    <xf numFmtId="43" fontId="2" fillId="0" borderId="0" xfId="2" applyNumberFormat="1"/>
    <xf numFmtId="2" fontId="2" fillId="0" borderId="0" xfId="2" applyNumberFormat="1"/>
    <xf numFmtId="171" fontId="2" fillId="0" borderId="0" xfId="2" applyNumberFormat="1"/>
    <xf numFmtId="0" fontId="4" fillId="0" borderId="0" xfId="2" applyFont="1" applyAlignment="1">
      <alignment horizontal="center" vertical="center"/>
    </xf>
    <xf numFmtId="0" fontId="2" fillId="9" borderId="15" xfId="2" applyFill="1" applyBorder="1" applyAlignment="1">
      <alignment horizontal="center" vertical="center" wrapText="1"/>
    </xf>
    <xf numFmtId="0" fontId="2" fillId="8" borderId="17" xfId="2" applyFill="1" applyBorder="1" applyAlignment="1">
      <alignment horizontal="center" vertical="center"/>
    </xf>
    <xf numFmtId="0" fontId="4" fillId="4" borderId="10" xfId="2" applyFont="1" applyFill="1" applyBorder="1" applyAlignment="1">
      <alignment horizontal="center" vertical="center" wrapText="1"/>
    </xf>
    <xf numFmtId="0" fontId="4" fillId="5" borderId="16" xfId="2" applyFont="1" applyFill="1" applyBorder="1" applyAlignment="1">
      <alignment horizontal="left" wrapText="1" indent="1"/>
    </xf>
    <xf numFmtId="0" fontId="4" fillId="5" borderId="16" xfId="2" applyFont="1" applyFill="1" applyBorder="1" applyAlignment="1">
      <alignment horizontal="left" vertical="top" wrapText="1" indent="1"/>
    </xf>
    <xf numFmtId="0" fontId="4" fillId="6" borderId="10" xfId="2" applyFont="1" applyFill="1" applyBorder="1" applyAlignment="1">
      <alignment horizontal="center" vertical="center"/>
    </xf>
    <xf numFmtId="0" fontId="4" fillId="7" borderId="10" xfId="2" applyFont="1" applyFill="1" applyBorder="1" applyAlignment="1">
      <alignment horizontal="center" vertical="center"/>
    </xf>
    <xf numFmtId="0" fontId="4" fillId="8" borderId="10" xfId="2" applyFont="1" applyFill="1" applyBorder="1" applyAlignment="1">
      <alignment horizontal="center" vertical="center"/>
    </xf>
    <xf numFmtId="0" fontId="2" fillId="10" borderId="15" xfId="2" applyFill="1" applyBorder="1" applyAlignment="1">
      <alignment horizontal="left" wrapText="1"/>
    </xf>
    <xf numFmtId="0" fontId="5" fillId="11" borderId="11" xfId="2" applyFont="1" applyFill="1" applyBorder="1" applyAlignment="1">
      <alignment horizontal="center"/>
    </xf>
    <xf numFmtId="0" fontId="4" fillId="8" borderId="14" xfId="2" applyFont="1" applyFill="1" applyBorder="1" applyAlignment="1">
      <alignment horizontal="center" vertical="center"/>
    </xf>
    <xf numFmtId="0" fontId="2" fillId="8" borderId="14" xfId="2" applyFill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" fontId="0" fillId="12" borderId="0" xfId="4" applyNumberFormat="1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1" fontId="0" fillId="12" borderId="0" xfId="0" applyNumberFormat="1" applyFill="1" applyBorder="1" applyAlignment="1">
      <alignment horizontal="center" vertical="center"/>
    </xf>
  </cellXfs>
  <cellStyles count="5">
    <cellStyle name="Moeda" xfId="4" builtinId="4"/>
    <cellStyle name="Moeda 2" xfId="3" xr:uid="{C1DADA73-F644-4A42-96D7-3F84FB0958FC}"/>
    <cellStyle name="Normal" xfId="0" builtinId="0"/>
    <cellStyle name="Normal 2" xfId="2" xr:uid="{84ED2006-0FE7-4665-9A41-26748BE4C82D}"/>
    <cellStyle name="Porcentagem" xfId="1" builtinId="5"/>
  </cellStyles>
  <dxfs count="11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rgb="FFFFE699"/>
          <bgColor theme="7" tint="0.3998840296639912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1" hidden="0"/>
    </dxf>
    <dxf>
      <numFmt numFmtId="164" formatCode="&quot;R$&quot;\ #,##0.00"/>
    </dxf>
    <dxf>
      <numFmt numFmtId="164" formatCode="&quot;R$&quot;\ #,##0.00"/>
    </dxf>
    <dxf>
      <numFmt numFmtId="0" formatCode="General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000000"/>
      <color rgb="FF293D7B"/>
      <color rgb="FF443A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66675</xdr:rowOff>
    </xdr:from>
    <xdr:to>
      <xdr:col>29</xdr:col>
      <xdr:colOff>428625</xdr:colOff>
      <xdr:row>52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18040350" cy="10020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180975</xdr:rowOff>
        </xdr:from>
        <xdr:to>
          <xdr:col>13</xdr:col>
          <xdr:colOff>457200</xdr:colOff>
          <xdr:row>12</xdr:row>
          <xdr:rowOff>9525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169333</xdr:rowOff>
    </xdr:from>
    <xdr:to>
      <xdr:col>2</xdr:col>
      <xdr:colOff>1089025</xdr:colOff>
      <xdr:row>47</xdr:row>
      <xdr:rowOff>35983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38333"/>
          <a:ext cx="4179358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3</xdr:col>
      <xdr:colOff>909637</xdr:colOff>
      <xdr:row>37</xdr:row>
      <xdr:rowOff>80963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8219"/>
          <a:ext cx="4183856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1166812</xdr:colOff>
      <xdr:row>25</xdr:row>
      <xdr:rowOff>11908</xdr:rowOff>
    </xdr:from>
    <xdr:to>
      <xdr:col>10</xdr:col>
      <xdr:colOff>141332</xdr:colOff>
      <xdr:row>36</xdr:row>
      <xdr:rowOff>107157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5312" y="5167314"/>
          <a:ext cx="6427832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10</xdr:col>
      <xdr:colOff>23813</xdr:colOff>
      <xdr:row>54</xdr:row>
      <xdr:rowOff>113357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72375"/>
          <a:ext cx="10751344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3</xdr:col>
      <xdr:colOff>909637</xdr:colOff>
      <xdr:row>37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E79691-097A-422C-9E32-BCFD239B0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5838"/>
          <a:ext cx="4176712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1166812</xdr:colOff>
      <xdr:row>25</xdr:row>
      <xdr:rowOff>11908</xdr:rowOff>
    </xdr:from>
    <xdr:to>
      <xdr:col>10</xdr:col>
      <xdr:colOff>141332</xdr:colOff>
      <xdr:row>36</xdr:row>
      <xdr:rowOff>107157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C3B3A85-03B3-483A-B5EB-32D93F540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9137" y="5164933"/>
          <a:ext cx="6423070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10</xdr:col>
      <xdr:colOff>23813</xdr:colOff>
      <xdr:row>54</xdr:row>
      <xdr:rowOff>113357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F884011-7582-426A-8D4F-CC90211BC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69994"/>
          <a:ext cx="10739438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4</xdr:col>
      <xdr:colOff>76200</xdr:colOff>
      <xdr:row>37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E7BB059-1B79-4298-9BA1-1B0DA54D60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5838"/>
          <a:ext cx="4174331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1166812</xdr:colOff>
      <xdr:row>25</xdr:row>
      <xdr:rowOff>11908</xdr:rowOff>
    </xdr:from>
    <xdr:to>
      <xdr:col>11</xdr:col>
      <xdr:colOff>141331</xdr:colOff>
      <xdr:row>36</xdr:row>
      <xdr:rowOff>107157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F46F3EC-32E9-4E71-BF77-5A6E4D8CE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5787" y="5164933"/>
          <a:ext cx="6423069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9</xdr:col>
      <xdr:colOff>535781</xdr:colOff>
      <xdr:row>54</xdr:row>
      <xdr:rowOff>113357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F2B7100-34AD-4C76-91D8-E19D55F47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69994"/>
          <a:ext cx="10737056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4</xdr:col>
      <xdr:colOff>76200</xdr:colOff>
      <xdr:row>37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1D014FD-563D-4AD4-81A1-2D2686500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5838"/>
          <a:ext cx="4171950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1166812</xdr:colOff>
      <xdr:row>25</xdr:row>
      <xdr:rowOff>11908</xdr:rowOff>
    </xdr:from>
    <xdr:to>
      <xdr:col>11</xdr:col>
      <xdr:colOff>141331</xdr:colOff>
      <xdr:row>36</xdr:row>
      <xdr:rowOff>107157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378B59-AAC8-454E-9609-05AD6EAD6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7812" y="5164933"/>
          <a:ext cx="6423069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9</xdr:col>
      <xdr:colOff>535781</xdr:colOff>
      <xdr:row>54</xdr:row>
      <xdr:rowOff>113357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B71AEFA-8084-4A4F-BEBF-9725201025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69994"/>
          <a:ext cx="10737056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4</xdr:col>
      <xdr:colOff>76200</xdr:colOff>
      <xdr:row>37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24A4DF5-62C2-4FFE-B8E1-98788C265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5838"/>
          <a:ext cx="4171950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1166812</xdr:colOff>
      <xdr:row>25</xdr:row>
      <xdr:rowOff>11908</xdr:rowOff>
    </xdr:from>
    <xdr:to>
      <xdr:col>11</xdr:col>
      <xdr:colOff>141331</xdr:colOff>
      <xdr:row>36</xdr:row>
      <xdr:rowOff>107157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05D46F3-AEA8-4067-A952-A3D1D302A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7812" y="5164933"/>
          <a:ext cx="6423069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9</xdr:col>
      <xdr:colOff>535781</xdr:colOff>
      <xdr:row>54</xdr:row>
      <xdr:rowOff>113357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59881F5-798B-4CD3-98AA-C1FD94C88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69994"/>
          <a:ext cx="10737056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23</xdr:row>
      <xdr:rowOff>23813</xdr:rowOff>
    </xdr:from>
    <xdr:to>
      <xdr:col>4</xdr:col>
      <xdr:colOff>76200</xdr:colOff>
      <xdr:row>37</xdr:row>
      <xdr:rowOff>80963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0BBDEBB-F574-4223-8DC8-937F36E09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95838"/>
          <a:ext cx="4171950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1166812</xdr:colOff>
      <xdr:row>25</xdr:row>
      <xdr:rowOff>11908</xdr:rowOff>
    </xdr:from>
    <xdr:to>
      <xdr:col>11</xdr:col>
      <xdr:colOff>141331</xdr:colOff>
      <xdr:row>36</xdr:row>
      <xdr:rowOff>107157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48C975C-50FF-4DC9-89EF-48BCD963C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7812" y="5164933"/>
          <a:ext cx="6423069" cy="2190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37</xdr:row>
      <xdr:rowOff>130969</xdr:rowOff>
    </xdr:from>
    <xdr:to>
      <xdr:col>9</xdr:col>
      <xdr:colOff>535781</xdr:colOff>
      <xdr:row>54</xdr:row>
      <xdr:rowOff>113357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EE5E5FA-3FF3-4D96-A4D8-7D4505B1D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569994"/>
          <a:ext cx="10737056" cy="3220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3941</xdr:rowOff>
    </xdr:from>
    <xdr:to>
      <xdr:col>12</xdr:col>
      <xdr:colOff>5952</xdr:colOff>
      <xdr:row>36</xdr:row>
      <xdr:rowOff>18327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23441"/>
          <a:ext cx="7321152" cy="380197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0</xdr:row>
      <xdr:rowOff>0</xdr:rowOff>
    </xdr:from>
    <xdr:to>
      <xdr:col>12</xdr:col>
      <xdr:colOff>24994</xdr:colOff>
      <xdr:row>18</xdr:row>
      <xdr:rowOff>83572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0"/>
          <a:ext cx="7263994" cy="3512572"/>
        </a:xfrm>
        <a:prstGeom prst="rect">
          <a:avLst/>
        </a:prstGeom>
      </xdr:spPr>
    </xdr:pic>
    <xdr:clientData/>
  </xdr:twoCellAnchor>
  <xdr:twoCellAnchor editAs="oneCell">
    <xdr:from>
      <xdr:col>12</xdr:col>
      <xdr:colOff>229605</xdr:colOff>
      <xdr:row>0</xdr:row>
      <xdr:rowOff>0</xdr:rowOff>
    </xdr:from>
    <xdr:to>
      <xdr:col>23</xdr:col>
      <xdr:colOff>413171</xdr:colOff>
      <xdr:row>16</xdr:row>
      <xdr:rowOff>143634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5487" y="0"/>
          <a:ext cx="7411360" cy="328128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04B257-58D7-4770-B34A-8138A8A6BF98}" name="Tabela1" displayName="Tabela1" ref="A1:N5" totalsRowShown="0" headerRowDxfId="10">
  <autoFilter ref="A1:N5" xr:uid="{B404B257-58D7-4770-B34A-8138A8A6BF98}"/>
  <tableColumns count="14">
    <tableColumn id="1" xr3:uid="{FEBD042F-3C8D-439E-A21C-F1E52B058451}" name="ID" dataDxfId="9"/>
    <tableColumn id="2" xr3:uid="{925658D3-CD9C-47AD-93DC-34B70E0336BC}" name="Modelos"/>
    <tableColumn id="3" xr3:uid="{C3080B4C-05A6-4B5E-A2AA-F93CCC841652}" name="Preço Nacional" dataDxfId="8"/>
    <tableColumn id="11" xr3:uid="{A0FFAAF7-8CA7-4731-8228-6BA2C120878C}" name="Preço de custo com imposto" dataDxfId="1"/>
    <tableColumn id="4" xr3:uid="{F4D69DFE-E0EC-4102-A756-4FF525BD504A}" name="Preço de custo">
      <calculatedColumnFormula>Tabela1[[#This Row],[Preço Nacional]]*40%</calculatedColumnFormula>
    </tableColumn>
    <tableColumn id="5" xr3:uid="{E3D3FA45-06EC-4CCC-9221-81209A970692}" name="Impostos"/>
    <tableColumn id="6" xr3:uid="{75F67249-75D8-483E-A89A-F13A6C00E4CC}" name="faturamento líquido das vendas (nacional)" dataDxfId="7">
      <calculatedColumnFormula>((Tabela1[[#This Row],[Preço Nacional]]*40%)+Tabela1[[#This Row],[Preço Nacional]])-Tabela1[[#This Row],[Preço de custo]]</calculatedColumnFormula>
    </tableColumn>
    <tableColumn id="7" xr3:uid="{613E1A30-34C5-43D1-B299-1CE2376AD39D}" name="Custo do pacote de serviço" dataDxfId="6" dataCellStyle="Moeda 2"/>
    <tableColumn id="8" xr3:uid="{CF972EA4-124D-424A-B971-5A2C83493254}" name="Preço por região:_x000a_SUL/SUDESTE" dataDxfId="5"/>
    <tableColumn id="12" xr3:uid="{6A7A6296-72D3-46AB-A67A-52E896FFB1ED}" name="Faturamento região SUL/SUDESTE" dataDxfId="4">
      <calculatedColumnFormula>Tabela1[[#This Row],[Preço por região:
SUL/SUDESTE]]-Tabela1[[#This Row],[Preço de custo com imposto]]+Tabela1[[#This Row],[Custo do pacote de serviço]]</calculatedColumnFormula>
    </tableColumn>
    <tableColumn id="9" xr3:uid="{6E57EBB3-6C6C-46C4-B1D9-BD2FDF1C41BC}" name="Preço por região:_x000a_NORDESTE" dataDxfId="0"/>
    <tableColumn id="13" xr3:uid="{4A06BD16-4DAF-49E5-8F2A-FCA1B6A9E051}" name="Faturamento região:_x000a_NORDESTE" dataDxfId="3">
      <calculatedColumnFormula>Tabela1[[#This Row],[Preço por região:
NORDESTE]]-Tabela1[[#This Row],[Preço de custo com imposto]]</calculatedColumnFormula>
    </tableColumn>
    <tableColumn id="10" xr3:uid="{6B3CEEAA-97C1-415B-9D39-6E83886FA1DE}" name="Preço por região:_x000a_NORTE/C.OESTE">
      <calculatedColumnFormula>Tabela1[[#This Row],[Preço Nacional]]-(Tabela1[[#This Row],[Preço Nacional]]*0.05)</calculatedColumnFormula>
    </tableColumn>
    <tableColumn id="14" xr3:uid="{8AFC4DE7-B629-4A6D-96AC-AACEAC5D7293}" name="Faturamento região:_x000a_NORTE/CENTRO-OESTE" dataDxfId="2">
      <calculatedColumnFormula>(Tabela1[[#This Row],[Preço por região:
NORTE/C.OESTE]]-Tabela1[[#This Row],[Impostos]])-Tabela1[[#This Row],[Preço de custo]]+Tabela1[[#This Row],[Custo do pacote de serviço]]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D42B1-5BC4-4358-BA75-AD1F453120E0}">
  <sheetPr codeName="Planilha1"/>
  <dimension ref="A1"/>
  <sheetViews>
    <sheetView zoomScaleNormal="100" workbookViewId="0">
      <selection activeCell="Q5" sqref="Q5"/>
    </sheetView>
  </sheetViews>
  <sheetFormatPr defaultRowHeight="15" x14ac:dyDescent="0.25"/>
  <cols>
    <col min="1" max="16384" width="9.140625" style="23"/>
  </cols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8</xdr:col>
                <xdr:colOff>152400</xdr:colOff>
                <xdr:row>2</xdr:row>
                <xdr:rowOff>180975</xdr:rowOff>
              </from>
              <to>
                <xdr:col>13</xdr:col>
                <xdr:colOff>457200</xdr:colOff>
                <xdr:row>12</xdr:row>
                <xdr:rowOff>9525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1AA51-CECB-4DA2-8BA2-DB92EC110DF0}">
  <sheetPr codeName="Planilha2"/>
  <dimension ref="A1:O1423"/>
  <sheetViews>
    <sheetView showGridLines="0" zoomScaleNormal="100" workbookViewId="0">
      <selection activeCell="A15" sqref="A15"/>
    </sheetView>
  </sheetViews>
  <sheetFormatPr defaultRowHeight="15" x14ac:dyDescent="0.25"/>
  <cols>
    <col min="1" max="1" width="18.5703125" style="15" customWidth="1"/>
    <col min="2" max="2" width="17.42578125" style="15" customWidth="1"/>
    <col min="3" max="3" width="24.42578125" style="15" bestFit="1" customWidth="1"/>
    <col min="4" max="4" width="25.140625" style="15" customWidth="1"/>
    <col min="5" max="5" width="18" style="15" customWidth="1"/>
    <col min="6" max="6" width="20" style="15" customWidth="1"/>
    <col min="7" max="7" width="16.7109375" style="15" customWidth="1"/>
    <col min="8" max="8" width="22.28515625" style="15" customWidth="1"/>
    <col min="9" max="9" width="3.7109375" style="1" customWidth="1"/>
    <col min="10" max="10" width="24.42578125" style="1" bestFit="1" customWidth="1"/>
    <col min="11" max="12" width="10.7109375" style="1" customWidth="1"/>
    <col min="13" max="13" width="16.7109375" style="1" customWidth="1"/>
    <col min="14" max="14" width="16.28515625" style="1" customWidth="1"/>
    <col min="15" max="15" width="15.42578125" style="1" customWidth="1"/>
    <col min="16" max="16384" width="9.140625" style="1"/>
  </cols>
  <sheetData>
    <row r="1" spans="1:15" ht="61.5" customHeight="1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8" t="s">
        <v>5</v>
      </c>
      <c r="G1" s="13" t="s">
        <v>6</v>
      </c>
      <c r="H1" s="13" t="s">
        <v>7</v>
      </c>
      <c r="I1" s="4"/>
      <c r="J1" s="17" t="s">
        <v>8</v>
      </c>
      <c r="K1" s="18" t="s">
        <v>9</v>
      </c>
      <c r="L1" s="4"/>
      <c r="M1" s="17" t="s">
        <v>10</v>
      </c>
      <c r="N1" s="24" t="s">
        <v>11</v>
      </c>
      <c r="O1" s="25" t="s">
        <v>12</v>
      </c>
    </row>
    <row r="2" spans="1:15" ht="15.75" thickBot="1" x14ac:dyDescent="0.3">
      <c r="A2" s="14" t="str">
        <f ca="1">IF(C2="","",NOW())</f>
        <v/>
      </c>
      <c r="D2" s="15" t="str">
        <f>IF(C2="","",VLOOKUP(C2,Tabela1[#All],2,0))</f>
        <v/>
      </c>
      <c r="F2" s="16" t="str">
        <f>IF(B2="","",(IF(B2="Compra de estoque","",(_xlfn.IFS(AND(B2="Venda de produtos",H2="Sul/Sudeste"),(VLOOKUP(C2,Tabela1[#All],9,0)*E2),AND(B2="Venda de produtos",H2="Nordeste"),(VLOOKUP(C2,Tabela1[#All],11,0)*E2),AND("Venda de produtos",H2="Norte/Centro-Oeste"),(VLOOKUP(C2,Tabela1[#All],13,0)*E2))))))</f>
        <v/>
      </c>
      <c r="G2" s="16" t="str">
        <f>IF(B2="Compra de estoque",VLOOKUP(C2,Tabela1[#All],4,0)*E2,"")</f>
        <v/>
      </c>
      <c r="H2" s="16"/>
      <c r="J2" s="19" t="s">
        <v>13</v>
      </c>
      <c r="K2" s="20"/>
      <c r="M2" s="26">
        <f>SUM(F:F)</f>
        <v>0</v>
      </c>
      <c r="N2" s="27">
        <f>SUM(G:G)</f>
        <v>0</v>
      </c>
      <c r="O2" s="28">
        <f>M2-N2</f>
        <v>0</v>
      </c>
    </row>
    <row r="3" spans="1:15" x14ac:dyDescent="0.25">
      <c r="A3" s="14" t="str">
        <f t="shared" ref="A3:A66" ca="1" si="0">IF(C3="","",NOW())</f>
        <v/>
      </c>
      <c r="D3" s="15" t="str">
        <f>IF(C3="","",VLOOKUP(C3,Tabela1[#All],2,0))</f>
        <v/>
      </c>
      <c r="F3" s="16" t="str" cm="1">
        <f t="array" ref="F3">IF(B3="","",(IF(B3="Compra de estoque","",(_xlfn.IFS(AND(B3="Venda de produtos",H3="Sul/Sudeste"),(VLOOKUP(C3,Tabela1[#All],9,0)*E3),AND(B3="Venda de produtos",H3="Nordeste"),(VLOOKUP(C3,Tabela1[#All],11,0)*E3),AND("Venda de produtos",H3="Norte/Centro-Oeste"),(VLOOKUP(C3,Tabela1[#All],13,0)*E3))))))</f>
        <v/>
      </c>
      <c r="G3" s="16" t="str">
        <f>IF(B3="Compra de estoque",VLOOKUP(C3,Tabela1[#All],4,0)*E3,"")</f>
        <v/>
      </c>
      <c r="H3" s="16"/>
      <c r="J3" s="19" t="s">
        <v>14</v>
      </c>
      <c r="K3" s="20"/>
    </row>
    <row r="4" spans="1:15" x14ac:dyDescent="0.25">
      <c r="A4" s="14" t="str">
        <f t="shared" ca="1" si="0"/>
        <v/>
      </c>
      <c r="D4" s="15" t="str">
        <f>IF(C4="","",VLOOKUP(C4,Tabela1[#All],2,0))</f>
        <v/>
      </c>
      <c r="F4" s="16" t="str" cm="1">
        <f t="array" ref="F4">IF(B4="","",(IF(B4="Compra de estoque","",(_xlfn.IFS(AND(B4="Venda de produtos",H4="Sul/Sudeste"),(VLOOKUP(C4,Tabela1[#All],9,0)*E4),AND(B4="Venda de produtos",H4="Nordeste"),(VLOOKUP(C4,Tabela1[#All],11,0)*E4),AND("Venda de produtos",H4="Norte/Centro-Oeste"),(VLOOKUP(C4,Tabela1[#All],13,0)*E4))))))</f>
        <v/>
      </c>
      <c r="G4" s="16" t="str">
        <f>IF(B4="Compra de estoque",VLOOKUP(C4,Tabela1[#All],4,0)*E4,"")</f>
        <v/>
      </c>
      <c r="H4" s="16"/>
      <c r="J4" s="19" t="s">
        <v>15</v>
      </c>
      <c r="K4" s="20"/>
    </row>
    <row r="5" spans="1:15" ht="15.75" thickBot="1" x14ac:dyDescent="0.3">
      <c r="A5" s="14" t="str">
        <f t="shared" ca="1" si="0"/>
        <v/>
      </c>
      <c r="D5" s="15" t="str">
        <f>IF(C5="","",VLOOKUP(C5,Tabela1[#All],2,0))</f>
        <v/>
      </c>
      <c r="F5" s="16" t="str" cm="1">
        <f t="array" ref="F5">IF(B5="","",(IF(B5="Compra de estoque","",(_xlfn.IFS(AND(B5="Venda de produtos",H5="Sul/Sudeste"),(VLOOKUP(C5,Tabela1[#All],9,0)*E5),AND(B5="Venda de produtos",H5="Nordeste"),(VLOOKUP(C5,Tabela1[#All],11,0)*E5),AND("Venda de produtos",H5="Norte/Centro-Oeste"),(VLOOKUP(C5,Tabela1[#All],13,0)*E5))))))</f>
        <v/>
      </c>
      <c r="G5" s="16" t="str">
        <f>IF(B5="Compra de estoque",VLOOKUP(C5,Tabela1[#All],4,0)*E5,"")</f>
        <v/>
      </c>
      <c r="H5" s="16"/>
      <c r="J5" s="21" t="s">
        <v>16</v>
      </c>
      <c r="K5" s="22"/>
    </row>
    <row r="6" spans="1:15" x14ac:dyDescent="0.25">
      <c r="A6" s="14" t="str">
        <f t="shared" ca="1" si="0"/>
        <v/>
      </c>
      <c r="D6" s="15" t="str">
        <f>IF(C6="","",VLOOKUP(C6,Tabela1[#All],2,0))</f>
        <v/>
      </c>
      <c r="F6" s="16" t="str" cm="1">
        <f t="array" ref="F6">IF(B6="","",(IF(B6="Compra de estoque","",(_xlfn.IFS(AND(B6="Venda de produtos",H6="Sul/Sudeste"),(VLOOKUP(C6,Tabela1[#All],9,0)*E6),AND(B6="Venda de produtos",H6="Nordeste"),(VLOOKUP(C6,Tabela1[#All],11,0)*E6),AND("Venda de produtos",H6="Norte/Centro-Oeste"),(VLOOKUP(C6,Tabela1[#All],13,0)*E6))))))</f>
        <v/>
      </c>
      <c r="G6" s="16" t="str">
        <f>IF(B6="Compra de estoque",VLOOKUP(C6,Tabela1[#All],4,0)*E6,"")</f>
        <v/>
      </c>
      <c r="H6" s="16"/>
    </row>
    <row r="7" spans="1:15" x14ac:dyDescent="0.25">
      <c r="A7" s="14" t="str">
        <f t="shared" ca="1" si="0"/>
        <v/>
      </c>
      <c r="D7" s="15" t="str">
        <f>IF(C7="","",VLOOKUP(C7,Tabela1[#All],2,0))</f>
        <v/>
      </c>
      <c r="F7" s="16" t="str" cm="1">
        <f t="array" ref="F7">IF(B7="","",(IF(B7="Compra de estoque","",(_xlfn.IFS(AND(B7="Venda de produtos",H7="Sul/Sudeste"),(VLOOKUP(C7,Tabela1[#All],9,0)*E7),AND(B7="Venda de produtos",H7="Nordeste"),(VLOOKUP(C7,Tabela1[#All],11,0)*E7),AND("Venda de produtos",H7="Norte/Centro-Oeste"),(VLOOKUP(C7,Tabela1[#All],13,0)*E7))))))</f>
        <v/>
      </c>
      <c r="G7" s="16" t="str">
        <f>IF(B7="Compra de estoque",VLOOKUP(C7,Tabela1[#All],4,0)*E7,"")</f>
        <v/>
      </c>
      <c r="H7" s="16"/>
    </row>
    <row r="8" spans="1:15" x14ac:dyDescent="0.25">
      <c r="A8" s="14" t="str">
        <f t="shared" ca="1" si="0"/>
        <v/>
      </c>
      <c r="D8" s="15" t="str">
        <f>IF(C8="","",VLOOKUP(C8,Tabela1[#All],2,0))</f>
        <v/>
      </c>
      <c r="F8" s="16" t="str" cm="1">
        <f t="array" ref="F8">IF(B8="","",(IF(B8="Compra de estoque","",(_xlfn.IFS(AND(B8="Venda de produtos",H8="Sul/Sudeste"),(VLOOKUP(C8,Tabela1[#All],9,0)*E8),AND(B8="Venda de produtos",H8="Nordeste"),(VLOOKUP(C8,Tabela1[#All],11,0)*E8),AND("Venda de produtos",H8="Norte/Centro-Oeste"),(VLOOKUP(C8,Tabela1[#All],13,0)*E8))))))</f>
        <v/>
      </c>
      <c r="G8" s="16" t="str">
        <f>IF(B8="Compra de estoque",VLOOKUP(C8,Tabela1[#All],4,0)*E8,"")</f>
        <v/>
      </c>
      <c r="H8" s="16"/>
    </row>
    <row r="9" spans="1:15" x14ac:dyDescent="0.25">
      <c r="A9" s="14" t="str">
        <f t="shared" ca="1" si="0"/>
        <v/>
      </c>
      <c r="D9" s="15" t="str">
        <f>IF(C9="","",VLOOKUP(C9,Tabela1[#All],2,0))</f>
        <v/>
      </c>
      <c r="F9" s="16" t="str" cm="1">
        <f t="array" ref="F9">IF(B9="","",(IF(B9="Compra de estoque","",(_xlfn.IFS(AND(B9="Venda de produtos",H9="Sul/Sudeste"),(VLOOKUP(C9,Tabela1[#All],9,0)*E9),AND(B9="Venda de produtos",H9="Nordeste"),(VLOOKUP(C9,Tabela1[#All],11,0)*E9),AND("Venda de produtos",H9="Norte/Centro-Oeste"),(VLOOKUP(C9,Tabela1[#All],13,0)*E9))))))</f>
        <v/>
      </c>
      <c r="G9" s="16" t="str">
        <f>IF(B9="Compra de estoque",VLOOKUP(C9,Tabela1[#All],4,0)*E9,"")</f>
        <v/>
      </c>
      <c r="H9" s="16"/>
    </row>
    <row r="10" spans="1:15" x14ac:dyDescent="0.25">
      <c r="A10" s="14" t="str">
        <f t="shared" ca="1" si="0"/>
        <v/>
      </c>
      <c r="D10" s="15" t="str">
        <f>IF(C10="","",VLOOKUP(C10,Tabela1[#All],2,0))</f>
        <v/>
      </c>
      <c r="F10" s="16" t="str" cm="1">
        <f t="array" ref="F10">IF(B10="","",(IF(B10="Compra de estoque","",(_xlfn.IFS(AND(B10="Venda de produtos",H10="Sul/Sudeste"),(VLOOKUP(C10,Tabela1[#All],9,0)*E10),AND(B10="Venda de produtos",H10="Nordeste"),(VLOOKUP(C10,Tabela1[#All],11,0)*E10),AND("Venda de produtos",H10="Norte/Centro-Oeste"),(VLOOKUP(C10,Tabela1[#All],13,0)*E10))))))</f>
        <v/>
      </c>
      <c r="G10" s="16" t="str">
        <f>IF(B10="Compra de estoque",VLOOKUP(C10,Tabela1[#All],4,0)*E10,"")</f>
        <v/>
      </c>
      <c r="H10" s="16"/>
    </row>
    <row r="11" spans="1:15" x14ac:dyDescent="0.25">
      <c r="A11" s="14" t="str">
        <f t="shared" ca="1" si="0"/>
        <v/>
      </c>
      <c r="D11" s="15" t="str">
        <f>IF(C11="","",VLOOKUP(C11,Tabela1[#All],2,0))</f>
        <v/>
      </c>
      <c r="F11" s="16" t="str" cm="1">
        <f t="array" ref="F11">IF(B11="","",(IF(B11="Compra de estoque","",(_xlfn.IFS(AND(B11="Venda de produtos",H11="Sul/Sudeste"),(VLOOKUP(C11,Tabela1[#All],9,0)*E11),AND(B11="Venda de produtos",H11="Nordeste"),(VLOOKUP(C11,Tabela1[#All],11,0)*E11),AND("Venda de produtos",H11="Norte/Centro-Oeste"),(VLOOKUP(C11,Tabela1[#All],13,0)*E11))))))</f>
        <v/>
      </c>
      <c r="G11" s="16" t="str">
        <f>IF(B11="Compra de estoque",VLOOKUP(C11,Tabela1[#All],4,0)*E11,"")</f>
        <v/>
      </c>
      <c r="H11" s="16"/>
    </row>
    <row r="12" spans="1:15" x14ac:dyDescent="0.25">
      <c r="A12" s="14" t="str">
        <f t="shared" ca="1" si="0"/>
        <v/>
      </c>
      <c r="D12" s="15" t="str">
        <f>IF(C12="","",VLOOKUP(C12,Tabela1[#All],2,0))</f>
        <v/>
      </c>
      <c r="F12" s="16" t="str" cm="1">
        <f t="array" ref="F12">IF(B12="","",(IF(B12="Compra de estoque","",(_xlfn.IFS(AND(B12="Venda de produtos",H12="Sul/Sudeste"),(VLOOKUP(C12,Tabela1[#All],9,0)*E12),AND(B12="Venda de produtos",H12="Nordeste"),(VLOOKUP(C12,Tabela1[#All],11,0)*E12),AND("Venda de produtos",H12="Norte/Centro-Oeste"),(VLOOKUP(C12,Tabela1[#All],13,0)*E12))))))</f>
        <v/>
      </c>
      <c r="G12" s="16" t="str">
        <f>IF(B12="Compra de estoque",VLOOKUP(C12,Tabela1[#All],4,0)*E12,"")</f>
        <v/>
      </c>
      <c r="H12" s="16"/>
    </row>
    <row r="13" spans="1:15" x14ac:dyDescent="0.25">
      <c r="A13" s="14" t="str">
        <f t="shared" ca="1" si="0"/>
        <v/>
      </c>
      <c r="D13" s="15" t="str">
        <f>IF(C13="","",VLOOKUP(C13,Tabela1[#All],2,0))</f>
        <v/>
      </c>
      <c r="F13" s="16" t="str" cm="1">
        <f t="array" ref="F13">IF(B13="","",(IF(B13="Compra de estoque","",(_xlfn.IFS(AND(B13="Venda de produtos",H13="Sul/Sudeste"),(VLOOKUP(C13,Tabela1[#All],9,0)*E13),AND(B13="Venda de produtos",H13="Nordeste"),(VLOOKUP(C13,Tabela1[#All],11,0)*E13),AND("Venda de produtos",H13="Norte/Centro-Oeste"),(VLOOKUP(C13,Tabela1[#All],13,0)*E13))))))</f>
        <v/>
      </c>
      <c r="G13" s="16" t="str">
        <f>IF(B13="Compra de estoque",VLOOKUP(C13,Tabela1[#All],4,0)*E13,"")</f>
        <v/>
      </c>
      <c r="H13" s="16"/>
    </row>
    <row r="14" spans="1:15" x14ac:dyDescent="0.25">
      <c r="A14" s="14" t="str">
        <f t="shared" ca="1" si="0"/>
        <v/>
      </c>
      <c r="D14" s="15" t="str">
        <f>IF(C14="","",VLOOKUP(C14,Tabela1[#All],2,0))</f>
        <v/>
      </c>
      <c r="F14" s="16" t="str" cm="1">
        <f t="array" ref="F14">IF(B14="","",(IF(B14="Compra de estoque","",(_xlfn.IFS(AND(B14="Venda de produtos",H14="Sul/Sudeste"),(VLOOKUP(C14,Tabela1[#All],9,0)*E14),AND(B14="Venda de produtos",H14="Nordeste"),(VLOOKUP(C14,Tabela1[#All],11,0)*E14),AND("Venda de produtos",H14="Norte/Centro-Oeste"),(VLOOKUP(C14,Tabela1[#All],13,0)*E14))))))</f>
        <v/>
      </c>
      <c r="G14" s="16" t="str">
        <f>IF(B14="Compra de estoque",VLOOKUP(C14,Tabela1[#All],4,0)*E14,"")</f>
        <v/>
      </c>
      <c r="H14" s="16"/>
    </row>
    <row r="15" spans="1:15" x14ac:dyDescent="0.25">
      <c r="A15" s="14" t="str">
        <f t="shared" ca="1" si="0"/>
        <v/>
      </c>
      <c r="D15" s="15" t="str">
        <f>IF(C15="","",VLOOKUP(C15,Tabela1[#All],2,0))</f>
        <v/>
      </c>
      <c r="F15" s="16" t="str" cm="1">
        <f t="array" ref="F15">IF(B15="","",(IF(B15="Compra de estoque","",(_xlfn.IFS(AND(B15="Venda de produtos",H15="Sul/Sudeste"),(VLOOKUP(C15,Tabela1[#All],9,0)*E15),AND(B15="Venda de produtos",H15="Nordeste"),(VLOOKUP(C15,Tabela1[#All],11,0)*E15),AND("Venda de produtos",H15="Norte/Centro-Oeste"),(VLOOKUP(C15,Tabela1[#All],13,0)*E15))))))</f>
        <v/>
      </c>
      <c r="G15" s="16" t="str">
        <f>IF(B15="Compra de estoque",VLOOKUP(C15,Tabela1[#All],4,0)*E15,"")</f>
        <v/>
      </c>
      <c r="H15" s="16"/>
    </row>
    <row r="16" spans="1:15" x14ac:dyDescent="0.25">
      <c r="A16" s="14" t="str">
        <f t="shared" ca="1" si="0"/>
        <v/>
      </c>
      <c r="D16" s="15" t="str">
        <f>IF(C16="","",VLOOKUP(C16,Tabela1[#All],2,0))</f>
        <v/>
      </c>
      <c r="F16" s="16" t="str" cm="1">
        <f t="array" ref="F16">IF(B16="","",(IF(B16="Compra de estoque","",(_xlfn.IFS(AND(B16="Venda de produtos",H16="Sul/Sudeste"),(VLOOKUP(C16,Tabela1[#All],9,0)*E16),AND(B16="Venda de produtos",H16="Nordeste"),(VLOOKUP(C16,Tabela1[#All],11,0)*E16),AND("Venda de produtos",H16="Norte/Centro-Oeste"),(VLOOKUP(C16,Tabela1[#All],13,0)*E16))))))</f>
        <v/>
      </c>
      <c r="G16" s="16" t="str">
        <f>IF(B16="Compra de estoque",VLOOKUP(C16,Tabela1[#All],4,0)*E16,"")</f>
        <v/>
      </c>
      <c r="H16" s="16"/>
    </row>
    <row r="17" spans="1:8" x14ac:dyDescent="0.25">
      <c r="A17" s="14" t="str">
        <f t="shared" ca="1" si="0"/>
        <v/>
      </c>
      <c r="D17" s="15" t="str">
        <f>IF(C17="","",VLOOKUP(C17,Tabela1[#All],2,0))</f>
        <v/>
      </c>
      <c r="F17" s="16" t="str" cm="1">
        <f t="array" ref="F17">IF(B17="","",(IF(B17="Compra de estoque","",(_xlfn.IFS(AND(B17="Venda de produtos",H17="Sul/Sudeste"),(VLOOKUP(C17,Tabela1[#All],9,0)*E17),AND(B17="Venda de produtos",H17="Nordeste"),(VLOOKUP(C17,Tabela1[#All],11,0)*E17),AND("Venda de produtos",H17="Norte/Centro-Oeste"),(VLOOKUP(C17,Tabela1[#All],13,0)*E17))))))</f>
        <v/>
      </c>
      <c r="G17" s="16" t="str">
        <f>IF(B17="Compra de estoque",VLOOKUP(C17,Tabela1[#All],4,0)*E17,"")</f>
        <v/>
      </c>
      <c r="H17" s="16"/>
    </row>
    <row r="18" spans="1:8" x14ac:dyDescent="0.25">
      <c r="A18" s="14" t="str">
        <f t="shared" ca="1" si="0"/>
        <v/>
      </c>
      <c r="D18" s="15" t="str">
        <f>IF(C18="","",VLOOKUP(C18,Tabela1[#All],2,0))</f>
        <v/>
      </c>
      <c r="F18" s="16" t="str" cm="1">
        <f t="array" ref="F18">IF(B18="","",(IF(B18="Compra de estoque","",(_xlfn.IFS(AND(B18="Venda de produtos",H18="Sul/Sudeste"),(VLOOKUP(C18,Tabela1[#All],9,0)*E18),AND(B18="Venda de produtos",H18="Nordeste"),(VLOOKUP(C18,Tabela1[#All],11,0)*E18),AND("Venda de produtos",H18="Norte/Centro-Oeste"),(VLOOKUP(C18,Tabela1[#All],13,0)*E18))))))</f>
        <v/>
      </c>
      <c r="G18" s="16" t="str">
        <f>IF(B18="Compra de estoque",VLOOKUP(C18,Tabela1[#All],4,0)*E18,"")</f>
        <v/>
      </c>
      <c r="H18" s="16"/>
    </row>
    <row r="19" spans="1:8" x14ac:dyDescent="0.25">
      <c r="A19" s="14" t="str">
        <f t="shared" ca="1" si="0"/>
        <v/>
      </c>
      <c r="D19" s="15" t="str">
        <f>IF(C19="","",VLOOKUP(C19,Tabela1[#All],2,0))</f>
        <v/>
      </c>
      <c r="F19" s="16" t="str" cm="1">
        <f t="array" ref="F19">IF(B19="","",(IF(B19="Compra de estoque","",(_xlfn.IFS(AND(B19="Venda de produtos",H19="Sul/Sudeste"),(VLOOKUP(C19,Tabela1[#All],9,0)*E19),AND(B19="Venda de produtos",H19="Nordeste"),(VLOOKUP(C19,Tabela1[#All],11,0)*E19),AND("Venda de produtos",H19="Norte/Centro-Oeste"),(VLOOKUP(C19,Tabela1[#All],13,0)*E19))))))</f>
        <v/>
      </c>
      <c r="G19" s="16" t="str">
        <f>IF(B19="Compra de estoque",VLOOKUP(C19,Tabela1[#All],4,0)*E19,"")</f>
        <v/>
      </c>
      <c r="H19" s="16"/>
    </row>
    <row r="20" spans="1:8" x14ac:dyDescent="0.25">
      <c r="A20" s="14" t="str">
        <f t="shared" ca="1" si="0"/>
        <v/>
      </c>
      <c r="D20" s="15" t="str">
        <f>IF(C20="","",VLOOKUP(C20,Tabela1[#All],2,0))</f>
        <v/>
      </c>
      <c r="F20" s="16" t="str" cm="1">
        <f t="array" ref="F20">IF(B20="","",(IF(B20="Compra de estoque","",(_xlfn.IFS(AND(B20="Venda de produtos",H20="Sul/Sudeste"),(VLOOKUP(C20,Tabela1[#All],9,0)*E20),AND(B20="Venda de produtos",H20="Nordeste"),(VLOOKUP(C20,Tabela1[#All],11,0)*E20),AND("Venda de produtos",H20="Norte/Centro-Oeste"),(VLOOKUP(C20,Tabela1[#All],13,0)*E20))))))</f>
        <v/>
      </c>
      <c r="G20" s="16" t="str">
        <f>IF(B20="Compra de estoque",VLOOKUP(C20,Tabela1[#All],4,0)*E20,"")</f>
        <v/>
      </c>
      <c r="H20" s="16"/>
    </row>
    <row r="21" spans="1:8" x14ac:dyDescent="0.25">
      <c r="A21" s="14" t="str">
        <f t="shared" ca="1" si="0"/>
        <v/>
      </c>
      <c r="D21" s="15" t="str">
        <f>IF(C21="","",VLOOKUP(C21,Tabela1[#All],2,0))</f>
        <v/>
      </c>
      <c r="F21" s="16" t="str" cm="1">
        <f t="array" ref="F21">IF(B21="","",(IF(B21="Compra de estoque","",(_xlfn.IFS(AND(B21="Venda de produtos",H21="Sul/Sudeste"),(VLOOKUP(C21,Tabela1[#All],9,0)*E21),AND(B21="Venda de produtos",H21="Nordeste"),(VLOOKUP(C21,Tabela1[#All],11,0)*E21),AND("Venda de produtos",H21="Norte/Centro-Oeste"),(VLOOKUP(C21,Tabela1[#All],13,0)*E21))))))</f>
        <v/>
      </c>
      <c r="G21" s="16" t="str">
        <f>IF(B21="Compra de estoque",VLOOKUP(C21,Tabela1[#All],4,0)*E21,"")</f>
        <v/>
      </c>
      <c r="H21" s="16"/>
    </row>
    <row r="22" spans="1:8" x14ac:dyDescent="0.25">
      <c r="A22" s="14" t="str">
        <f t="shared" ca="1" si="0"/>
        <v/>
      </c>
      <c r="D22" s="15" t="str">
        <f>IF(C22="","",VLOOKUP(C22,Tabela1[#All],2,0))</f>
        <v/>
      </c>
      <c r="F22" s="16" t="str" cm="1">
        <f t="array" ref="F22">IF(B22="","",(IF(B22="Compra de estoque","",(_xlfn.IFS(AND(B22="Venda de produtos",H22="Sul/Sudeste"),(VLOOKUP(C22,Tabela1[#All],9,0)*E22),AND(B22="Venda de produtos",H22="Nordeste"),(VLOOKUP(C22,Tabela1[#All],11,0)*E22),AND("Venda de produtos",H22="Norte/Centro-Oeste"),(VLOOKUP(C22,Tabela1[#All],13,0)*E22))))))</f>
        <v/>
      </c>
      <c r="G22" s="16" t="str">
        <f>IF(B22="Compra de estoque",VLOOKUP(C22,Tabela1[#All],4,0)*E22,"")</f>
        <v/>
      </c>
      <c r="H22" s="16"/>
    </row>
    <row r="23" spans="1:8" x14ac:dyDescent="0.25">
      <c r="A23" s="14" t="str">
        <f t="shared" ca="1" si="0"/>
        <v/>
      </c>
      <c r="D23" s="15" t="str">
        <f>IF(C23="","",VLOOKUP(C23,Tabela1[#All],2,0))</f>
        <v/>
      </c>
      <c r="F23" s="16" t="str" cm="1">
        <f t="array" ref="F23">IF(B23="","",(IF(B23="Compra de estoque","",(_xlfn.IFS(AND(B23="Venda de produtos",H23="Sul/Sudeste"),(VLOOKUP(C23,Tabela1[#All],9,0)*E23),AND(B23="Venda de produtos",H23="Nordeste"),(VLOOKUP(C23,Tabela1[#All],11,0)*E23),AND("Venda de produtos",H23="Norte/Centro-Oeste"),(VLOOKUP(C23,Tabela1[#All],13,0)*E23))))))</f>
        <v/>
      </c>
      <c r="G23" s="16" t="str">
        <f>IF(B23="Compra de estoque",VLOOKUP(C23,Tabela1[#All],4,0)*E23,"")</f>
        <v/>
      </c>
      <c r="H23" s="16"/>
    </row>
    <row r="24" spans="1:8" x14ac:dyDescent="0.25">
      <c r="A24" s="14" t="str">
        <f t="shared" ca="1" si="0"/>
        <v/>
      </c>
      <c r="D24" s="15" t="str">
        <f>IF(C24="","",VLOOKUP(C24,Tabela1[#All],2,0))</f>
        <v/>
      </c>
      <c r="F24" s="16" t="str" cm="1">
        <f t="array" ref="F24">IF(B24="","",(IF(B24="Compra de estoque","",(_xlfn.IFS(AND(B24="Venda de produtos",H24="Sul/Sudeste"),(VLOOKUP(C24,Tabela1[#All],9,0)*E24),AND(B24="Venda de produtos",H24="Nordeste"),(VLOOKUP(C24,Tabela1[#All],11,0)*E24),AND("Venda de produtos",H24="Norte/Centro-Oeste"),(VLOOKUP(C24,Tabela1[#All],13,0)*E24))))))</f>
        <v/>
      </c>
      <c r="G24" s="16" t="str">
        <f>IF(B24="Compra de estoque",VLOOKUP(C24,Tabela1[#All],4,0)*E24,"")</f>
        <v/>
      </c>
      <c r="H24" s="16"/>
    </row>
    <row r="25" spans="1:8" x14ac:dyDescent="0.25">
      <c r="A25" s="14" t="str">
        <f t="shared" ca="1" si="0"/>
        <v/>
      </c>
      <c r="D25" s="15" t="str">
        <f>IF(C25="","",VLOOKUP(C25,Tabela1[#All],2,0))</f>
        <v/>
      </c>
      <c r="F25" s="16" t="str" cm="1">
        <f t="array" ref="F25">IF(B25="","",(IF(B25="Compra de estoque","",(_xlfn.IFS(AND(B25="Venda de produtos",H25="Sul/Sudeste"),(VLOOKUP(C25,Tabela1[#All],9,0)*E25),AND(B25="Venda de produtos",H25="Nordeste"),(VLOOKUP(C25,Tabela1[#All],11,0)*E25),AND("Venda de produtos",H25="Norte/Centro-Oeste"),(VLOOKUP(C25,Tabela1[#All],13,0)*E25))))))</f>
        <v/>
      </c>
      <c r="G25" s="16" t="str">
        <f>IF(B25="Compra de estoque",VLOOKUP(C25,Tabela1[#All],4,0)*E25,"")</f>
        <v/>
      </c>
      <c r="H25" s="16"/>
    </row>
    <row r="26" spans="1:8" x14ac:dyDescent="0.25">
      <c r="A26" s="14" t="str">
        <f t="shared" ca="1" si="0"/>
        <v/>
      </c>
      <c r="D26" s="15" t="str">
        <f>IF(C26="","",VLOOKUP(C26,Tabela1[#All],2,0))</f>
        <v/>
      </c>
      <c r="F26" s="16" t="str" cm="1">
        <f t="array" ref="F26">IF(B26="","",(IF(B26="Compra de estoque","",(_xlfn.IFS(AND(B26="Venda de produtos",H26="Sul/Sudeste"),(VLOOKUP(C26,Tabela1[#All],9,0)*E26),AND(B26="Venda de produtos",H26="Nordeste"),(VLOOKUP(C26,Tabela1[#All],11,0)*E26),AND("Venda de produtos",H26="Norte/Centro-Oeste"),(VLOOKUP(C26,Tabela1[#All],13,0)*E26))))))</f>
        <v/>
      </c>
      <c r="G26" s="16" t="str">
        <f>IF(B26="Compra de estoque",VLOOKUP(C26,Tabela1[#All],4,0)*E26,"")</f>
        <v/>
      </c>
      <c r="H26" s="16"/>
    </row>
    <row r="27" spans="1:8" x14ac:dyDescent="0.25">
      <c r="A27" s="14" t="str">
        <f t="shared" ca="1" si="0"/>
        <v/>
      </c>
      <c r="D27" s="15" t="str">
        <f>IF(C27="","",VLOOKUP(C27,Tabela1[#All],2,0))</f>
        <v/>
      </c>
      <c r="F27" s="16" t="str" cm="1">
        <f t="array" ref="F27">IF(B27="","",(IF(B27="Compra de estoque","",(_xlfn.IFS(AND(B27="Venda de produtos",H27="Sul/Sudeste"),(VLOOKUP(C27,Tabela1[#All],9,0)*E27),AND(B27="Venda de produtos",H27="Nordeste"),(VLOOKUP(C27,Tabela1[#All],11,0)*E27),AND("Venda de produtos",H27="Norte/Centro-Oeste"),(VLOOKUP(C27,Tabela1[#All],13,0)*E27))))))</f>
        <v/>
      </c>
      <c r="G27" s="16" t="str">
        <f>IF(B27="Compra de estoque",VLOOKUP(C27,Tabela1[#All],4,0)*E27,"")</f>
        <v/>
      </c>
      <c r="H27" s="16"/>
    </row>
    <row r="28" spans="1:8" x14ac:dyDescent="0.25">
      <c r="A28" s="14" t="str">
        <f t="shared" ca="1" si="0"/>
        <v/>
      </c>
      <c r="D28" s="15" t="str">
        <f>IF(C28="","",VLOOKUP(C28,Tabela1[#All],2,0))</f>
        <v/>
      </c>
      <c r="F28" s="16" t="str" cm="1">
        <f t="array" ref="F28">IF(B28="","",(IF(B28="Compra de estoque","",(_xlfn.IFS(AND(B28="Venda de produtos",H28="Sul/Sudeste"),(VLOOKUP(C28,Tabela1[#All],9,0)*E28),AND(B28="Venda de produtos",H28="Nordeste"),(VLOOKUP(C28,Tabela1[#All],11,0)*E28),AND("Venda de produtos",H28="Norte/Centro-Oeste"),(VLOOKUP(C28,Tabela1[#All],13,0)*E28))))))</f>
        <v/>
      </c>
      <c r="G28" s="16" t="str">
        <f>IF(B28="Compra de estoque",VLOOKUP(C28,Tabela1[#All],4,0)*E28,"")</f>
        <v/>
      </c>
      <c r="H28" s="16"/>
    </row>
    <row r="29" spans="1:8" x14ac:dyDescent="0.25">
      <c r="A29" s="14" t="str">
        <f t="shared" ca="1" si="0"/>
        <v/>
      </c>
      <c r="D29" s="15" t="str">
        <f>IF(C29="","",VLOOKUP(C29,Tabela1[#All],2,0))</f>
        <v/>
      </c>
      <c r="F29" s="16" t="str" cm="1">
        <f t="array" ref="F29">IF(B29="","",(IF(B29="Compra de estoque","",(_xlfn.IFS(AND(B29="Venda de produtos",H29="Sul/Sudeste"),(VLOOKUP(C29,Tabela1[#All],9,0)*E29),AND(B29="Venda de produtos",H29="Nordeste"),(VLOOKUP(C29,Tabela1[#All],11,0)*E29),AND("Venda de produtos",H29="Norte/Centro-Oeste"),(VLOOKUP(C29,Tabela1[#All],13,0)*E29))))))</f>
        <v/>
      </c>
      <c r="G29" s="16" t="str">
        <f>IF(B29="Compra de estoque",VLOOKUP(C29,Tabela1[#All],4,0)*E29,"")</f>
        <v/>
      </c>
      <c r="H29" s="16"/>
    </row>
    <row r="30" spans="1:8" x14ac:dyDescent="0.25">
      <c r="A30" s="14" t="str">
        <f t="shared" ca="1" si="0"/>
        <v/>
      </c>
      <c r="D30" s="15" t="str">
        <f>IF(C30="","",VLOOKUP(C30,Tabela1[#All],2,0))</f>
        <v/>
      </c>
      <c r="F30" s="16" t="str" cm="1">
        <f t="array" ref="F30">IF(B30="","",(IF(B30="Compra de estoque","",(_xlfn.IFS(AND(B30="Venda de produtos",H30="Sul/Sudeste"),(VLOOKUP(C30,Tabela1[#All],9,0)*E30),AND(B30="Venda de produtos",H30="Nordeste"),(VLOOKUP(C30,Tabela1[#All],11,0)*E30),AND("Venda de produtos",H30="Norte/Centro-Oeste"),(VLOOKUP(C30,Tabela1[#All],13,0)*E30))))))</f>
        <v/>
      </c>
      <c r="G30" s="16" t="str">
        <f>IF(B30="Compra de estoque",VLOOKUP(C30,Tabela1[#All],4,0)*E30,"")</f>
        <v/>
      </c>
      <c r="H30" s="16"/>
    </row>
    <row r="31" spans="1:8" x14ac:dyDescent="0.25">
      <c r="A31" s="14" t="str">
        <f t="shared" ca="1" si="0"/>
        <v/>
      </c>
      <c r="D31" s="15" t="str">
        <f>IF(C31="","",VLOOKUP(C31,Tabela1[#All],2,0))</f>
        <v/>
      </c>
      <c r="F31" s="16" t="str" cm="1">
        <f t="array" ref="F31">IF(B31="","",(IF(B31="Compra de estoque","",(_xlfn.IFS(AND(B31="Venda de produtos",H31="Sul/Sudeste"),(VLOOKUP(C31,Tabela1[#All],9,0)*E31),AND(B31="Venda de produtos",H31="Nordeste"),(VLOOKUP(C31,Tabela1[#All],11,0)*E31),AND("Venda de produtos",H31="Norte/Centro-Oeste"),(VLOOKUP(C31,Tabela1[#All],13,0)*E31))))))</f>
        <v/>
      </c>
      <c r="G31" s="16" t="str">
        <f>IF(B31="Compra de estoque",VLOOKUP(C31,Tabela1[#All],4,0)*E31,"")</f>
        <v/>
      </c>
      <c r="H31" s="16"/>
    </row>
    <row r="32" spans="1:8" x14ac:dyDescent="0.25">
      <c r="A32" s="14" t="str">
        <f t="shared" ca="1" si="0"/>
        <v/>
      </c>
      <c r="D32" s="15" t="str">
        <f>IF(C32="","",VLOOKUP(C32,Tabela1[#All],2,0))</f>
        <v/>
      </c>
      <c r="F32" s="16" t="str" cm="1">
        <f t="array" ref="F32">IF(B32="","",(IF(B32="Compra de estoque","",(_xlfn.IFS(AND(B32="Venda de produtos",H32="Sul/Sudeste"),(VLOOKUP(C32,Tabela1[#All],9,0)*E32),AND(B32="Venda de produtos",H32="Nordeste"),(VLOOKUP(C32,Tabela1[#All],11,0)*E32),AND("Venda de produtos",H32="Norte/Centro-Oeste"),(VLOOKUP(C32,Tabela1[#All],13,0)*E32))))))</f>
        <v/>
      </c>
      <c r="G32" s="16" t="str">
        <f>IF(B32="Compra de estoque",VLOOKUP(C32,Tabela1[#All],4,0)*E32,"")</f>
        <v/>
      </c>
      <c r="H32" s="16"/>
    </row>
    <row r="33" spans="1:8" x14ac:dyDescent="0.25">
      <c r="A33" s="14" t="str">
        <f t="shared" ca="1" si="0"/>
        <v/>
      </c>
      <c r="D33" s="15" t="str">
        <f>IF(C33="","",VLOOKUP(C33,Tabela1[#All],2,0))</f>
        <v/>
      </c>
      <c r="F33" s="16" t="str" cm="1">
        <f t="array" ref="F33">IF(B33="","",(IF(B33="Compra de estoque","",(_xlfn.IFS(AND(B33="Venda de produtos",H33="Sul/Sudeste"),(VLOOKUP(C33,Tabela1[#All],9,0)*E33),AND(B33="Venda de produtos",H33="Nordeste"),(VLOOKUP(C33,Tabela1[#All],11,0)*E33),AND("Venda de produtos",H33="Norte/Centro-Oeste"),(VLOOKUP(C33,Tabela1[#All],13,0)*E33))))))</f>
        <v/>
      </c>
      <c r="G33" s="16" t="str">
        <f>IF(B33="Compra de estoque",VLOOKUP(C33,Tabela1[#All],4,0)*E33,"")</f>
        <v/>
      </c>
      <c r="H33" s="16"/>
    </row>
    <row r="34" spans="1:8" x14ac:dyDescent="0.25">
      <c r="A34" s="14" t="str">
        <f t="shared" ca="1" si="0"/>
        <v/>
      </c>
      <c r="D34" s="15" t="str">
        <f>IF(C34="","",VLOOKUP(C34,Tabela1[#All],2,0))</f>
        <v/>
      </c>
      <c r="F34" s="16" t="str" cm="1">
        <f t="array" ref="F34">IF(B34="","",(IF(B34="Compra de estoque","",(_xlfn.IFS(AND(B34="Venda de produtos",H34="Sul/Sudeste"),(VLOOKUP(C34,Tabela1[#All],9,0)*E34),AND(B34="Venda de produtos",H34="Nordeste"),(VLOOKUP(C34,Tabela1[#All],11,0)*E34),AND("Venda de produtos",H34="Norte/Centro-Oeste"),(VLOOKUP(C34,Tabela1[#All],13,0)*E34))))))</f>
        <v/>
      </c>
      <c r="G34" s="16" t="str">
        <f>IF(B34="Compra de estoque",VLOOKUP(C34,Tabela1[#All],4,0)*E34,"")</f>
        <v/>
      </c>
      <c r="H34" s="16"/>
    </row>
    <row r="35" spans="1:8" x14ac:dyDescent="0.25">
      <c r="A35" s="14" t="str">
        <f t="shared" ca="1" si="0"/>
        <v/>
      </c>
      <c r="D35" s="15" t="str">
        <f>IF(C35="","",VLOOKUP(C35,Tabela1[#All],2,0))</f>
        <v/>
      </c>
      <c r="F35" s="16" t="str" cm="1">
        <f t="array" ref="F35">IF(B35="","",(IF(B35="Compra de estoque","",(_xlfn.IFS(AND(B35="Venda de produtos",H35="Sul/Sudeste"),(VLOOKUP(C35,Tabela1[#All],9,0)*E35),AND(B35="Venda de produtos",H35="Nordeste"),(VLOOKUP(C35,Tabela1[#All],11,0)*E35),AND("Venda de produtos",H35="Norte/Centro-Oeste"),(VLOOKUP(C35,Tabela1[#All],13,0)*E35))))))</f>
        <v/>
      </c>
      <c r="G35" s="16" t="str">
        <f>IF(B35="Compra de estoque",VLOOKUP(C35,Tabela1[#All],4,0)*E35,"")</f>
        <v/>
      </c>
      <c r="H35" s="16"/>
    </row>
    <row r="36" spans="1:8" x14ac:dyDescent="0.25">
      <c r="A36" s="14" t="str">
        <f t="shared" ca="1" si="0"/>
        <v/>
      </c>
      <c r="D36" s="15" t="str">
        <f>IF(C36="","",VLOOKUP(C36,Tabela1[#All],2,0))</f>
        <v/>
      </c>
      <c r="F36" s="16" t="str" cm="1">
        <f t="array" ref="F36">IF(B36="","",(IF(B36="Compra de estoque","",(_xlfn.IFS(AND(B36="Venda de produtos",H36="Sul/Sudeste"),(VLOOKUP(C36,Tabela1[#All],9,0)*E36),AND(B36="Venda de produtos",H36="Nordeste"),(VLOOKUP(C36,Tabela1[#All],11,0)*E36),AND("Venda de produtos",H36="Norte/Centro-Oeste"),(VLOOKUP(C36,Tabela1[#All],13,0)*E36))))))</f>
        <v/>
      </c>
      <c r="G36" s="16" t="str">
        <f>IF(B36="Compra de estoque",VLOOKUP(C36,Tabela1[#All],4,0)*E36,"")</f>
        <v/>
      </c>
      <c r="H36" s="16"/>
    </row>
    <row r="37" spans="1:8" x14ac:dyDescent="0.25">
      <c r="A37" s="14" t="str">
        <f t="shared" ca="1" si="0"/>
        <v/>
      </c>
      <c r="D37" s="15" t="str">
        <f>IF(C37="","",VLOOKUP(C37,Tabela1[#All],2,0))</f>
        <v/>
      </c>
      <c r="F37" s="16" t="str" cm="1">
        <f t="array" ref="F37">IF(B37="","",(IF(B37="Compra de estoque","",(_xlfn.IFS(AND(B37="Venda de produtos",H37="Sul/Sudeste"),(VLOOKUP(C37,Tabela1[#All],9,0)*E37),AND(B37="Venda de produtos",H37="Nordeste"),(VLOOKUP(C37,Tabela1[#All],11,0)*E37),AND("Venda de produtos",H37="Norte/Centro-Oeste"),(VLOOKUP(C37,Tabela1[#All],13,0)*E37))))))</f>
        <v/>
      </c>
      <c r="G37" s="16" t="str">
        <f>IF(B37="Compra de estoque",VLOOKUP(C37,Tabela1[#All],4,0)*E37,"")</f>
        <v/>
      </c>
      <c r="H37" s="16"/>
    </row>
    <row r="38" spans="1:8" x14ac:dyDescent="0.25">
      <c r="A38" s="14" t="str">
        <f t="shared" ca="1" si="0"/>
        <v/>
      </c>
      <c r="D38" s="15" t="str">
        <f>IF(C38="","",VLOOKUP(C38,Tabela1[#All],2,0))</f>
        <v/>
      </c>
      <c r="F38" s="16" t="str" cm="1">
        <f t="array" ref="F38">IF(B38="","",(IF(B38="Compra de estoque","",(_xlfn.IFS(AND(B38="Venda de produtos",H38="Sul/Sudeste"),(VLOOKUP(C38,Tabela1[#All],9,0)*E38),AND(B38="Venda de produtos",H38="Nordeste"),(VLOOKUP(C38,Tabela1[#All],11,0)*E38),AND("Venda de produtos",H38="Norte/Centro-Oeste"),(VLOOKUP(C38,Tabela1[#All],13,0)*E38))))))</f>
        <v/>
      </c>
      <c r="G38" s="16" t="str">
        <f>IF(B38="Compra de estoque",VLOOKUP(C38,Tabela1[#All],4,0)*E38,"")</f>
        <v/>
      </c>
      <c r="H38" s="16"/>
    </row>
    <row r="39" spans="1:8" x14ac:dyDescent="0.25">
      <c r="A39" s="14" t="str">
        <f t="shared" ca="1" si="0"/>
        <v/>
      </c>
      <c r="D39" s="15" t="str">
        <f>IF(C39="","",VLOOKUP(C39,Tabela1[#All],2,0))</f>
        <v/>
      </c>
      <c r="F39" s="16" t="str" cm="1">
        <f t="array" ref="F39">IF(B39="","",(IF(B39="Compra de estoque","",(_xlfn.IFS(AND(B39="Venda de produtos",H39="Sul/Sudeste"),(VLOOKUP(C39,Tabela1[#All],9,0)*E39),AND(B39="Venda de produtos",H39="Nordeste"),(VLOOKUP(C39,Tabela1[#All],11,0)*E39),AND("Venda de produtos",H39="Norte/Centro-Oeste"),(VLOOKUP(C39,Tabela1[#All],13,0)*E39))))))</f>
        <v/>
      </c>
      <c r="G39" s="16" t="str">
        <f>IF(B39="Compra de estoque",VLOOKUP(C39,Tabela1[#All],4,0)*E39,"")</f>
        <v/>
      </c>
      <c r="H39" s="16"/>
    </row>
    <row r="40" spans="1:8" x14ac:dyDescent="0.25">
      <c r="A40" s="14" t="str">
        <f t="shared" ca="1" si="0"/>
        <v/>
      </c>
      <c r="D40" s="15" t="str">
        <f>IF(C40="","",VLOOKUP(C40,Tabela1[#All],2,0))</f>
        <v/>
      </c>
      <c r="F40" s="16" t="str" cm="1">
        <f t="array" ref="F40">IF(B40="","",(IF(B40="Compra de estoque","",(_xlfn.IFS(AND(B40="Venda de produtos",H40="Sul/Sudeste"),(VLOOKUP(C40,Tabela1[#All],9,0)*E40),AND(B40="Venda de produtos",H40="Nordeste"),(VLOOKUP(C40,Tabela1[#All],11,0)*E40),AND("Venda de produtos",H40="Norte/Centro-Oeste"),(VLOOKUP(C40,Tabela1[#All],13,0)*E40))))))</f>
        <v/>
      </c>
      <c r="G40" s="16" t="str">
        <f>IF(B40="Compra de estoque",VLOOKUP(C40,Tabela1[#All],4,0)*E40,"")</f>
        <v/>
      </c>
      <c r="H40" s="16"/>
    </row>
    <row r="41" spans="1:8" x14ac:dyDescent="0.25">
      <c r="A41" s="14" t="str">
        <f t="shared" ca="1" si="0"/>
        <v/>
      </c>
      <c r="D41" s="15" t="str">
        <f>IF(C41="","",VLOOKUP(C41,Tabela1[#All],2,0))</f>
        <v/>
      </c>
      <c r="F41" s="16" t="str" cm="1">
        <f t="array" ref="F41">IF(B41="","",(IF(B41="Compra de estoque","",(_xlfn.IFS(AND(B41="Venda de produtos",H41="Sul/Sudeste"),(VLOOKUP(C41,Tabela1[#All],9,0)*E41),AND(B41="Venda de produtos",H41="Nordeste"),(VLOOKUP(C41,Tabela1[#All],11,0)*E41),AND("Venda de produtos",H41="Norte/Centro-Oeste"),(VLOOKUP(C41,Tabela1[#All],13,0)*E41))))))</f>
        <v/>
      </c>
      <c r="G41" s="16" t="str">
        <f>IF(B41="Compra de estoque",VLOOKUP(C41,Tabela1[#All],4,0)*E41,"")</f>
        <v/>
      </c>
      <c r="H41" s="16"/>
    </row>
    <row r="42" spans="1:8" x14ac:dyDescent="0.25">
      <c r="A42" s="14" t="str">
        <f t="shared" ca="1" si="0"/>
        <v/>
      </c>
      <c r="D42" s="15" t="str">
        <f>IF(C42="","",VLOOKUP(C42,Tabela1[#All],2,0))</f>
        <v/>
      </c>
      <c r="F42" s="16" t="str" cm="1">
        <f t="array" ref="F42">IF(B42="","",(IF(B42="Compra de estoque","",(_xlfn.IFS(AND(B42="Venda de produtos",H42="Sul/Sudeste"),(VLOOKUP(C42,Tabela1[#All],9,0)*E42),AND(B42="Venda de produtos",H42="Nordeste"),(VLOOKUP(C42,Tabela1[#All],11,0)*E42),AND("Venda de produtos",H42="Norte/Centro-Oeste"),(VLOOKUP(C42,Tabela1[#All],13,0)*E42))))))</f>
        <v/>
      </c>
      <c r="G42" s="16" t="str">
        <f>IF(B42="Compra de estoque",VLOOKUP(C42,Tabela1[#All],4,0)*E42,"")</f>
        <v/>
      </c>
      <c r="H42" s="16"/>
    </row>
    <row r="43" spans="1:8" x14ac:dyDescent="0.25">
      <c r="A43" s="14" t="str">
        <f t="shared" ca="1" si="0"/>
        <v/>
      </c>
      <c r="D43" s="15" t="str">
        <f>IF(C43="","",VLOOKUP(C43,Tabela1[#All],2,0))</f>
        <v/>
      </c>
      <c r="F43" s="16" t="str" cm="1">
        <f t="array" ref="F43">IF(B43="","",(IF(B43="Compra de estoque","",(_xlfn.IFS(AND(B43="Venda de produtos",H43="Sul/Sudeste"),(VLOOKUP(C43,Tabela1[#All],9,0)*E43),AND(B43="Venda de produtos",H43="Nordeste"),(VLOOKUP(C43,Tabela1[#All],11,0)*E43),AND("Venda de produtos",H43="Norte/Centro-Oeste"),(VLOOKUP(C43,Tabela1[#All],13,0)*E43))))))</f>
        <v/>
      </c>
      <c r="G43" s="16" t="str">
        <f>IF(B43="Compra de estoque",VLOOKUP(C43,Tabela1[#All],4,0)*E43,"")</f>
        <v/>
      </c>
      <c r="H43" s="16"/>
    </row>
    <row r="44" spans="1:8" x14ac:dyDescent="0.25">
      <c r="A44" s="14" t="str">
        <f t="shared" ca="1" si="0"/>
        <v/>
      </c>
      <c r="D44" s="15" t="str">
        <f>IF(C44="","",VLOOKUP(C44,Tabela1[#All],2,0))</f>
        <v/>
      </c>
      <c r="F44" s="16" t="str" cm="1">
        <f t="array" ref="F44">IF(B44="","",(IF(B44="Compra de estoque","",(_xlfn.IFS(AND(B44="Venda de produtos",H44="Sul/Sudeste"),(VLOOKUP(C44,Tabela1[#All],9,0)*E44),AND(B44="Venda de produtos",H44="Nordeste"),(VLOOKUP(C44,Tabela1[#All],11,0)*E44),AND("Venda de produtos",H44="Norte/Centro-Oeste"),(VLOOKUP(C44,Tabela1[#All],13,0)*E44))))))</f>
        <v/>
      </c>
      <c r="G44" s="16" t="str">
        <f>IF(B44="Compra de estoque",VLOOKUP(C44,Tabela1[#All],4,0)*E44,"")</f>
        <v/>
      </c>
      <c r="H44" s="16"/>
    </row>
    <row r="45" spans="1:8" x14ac:dyDescent="0.25">
      <c r="A45" s="14" t="str">
        <f t="shared" ca="1" si="0"/>
        <v/>
      </c>
      <c r="D45" s="15" t="str">
        <f>IF(C45="","",VLOOKUP(C45,Tabela1[#All],2,0))</f>
        <v/>
      </c>
      <c r="F45" s="16" t="str" cm="1">
        <f t="array" ref="F45">IF(B45="","",(IF(B45="Compra de estoque","",(_xlfn.IFS(AND(B45="Venda de produtos",H45="Sul/Sudeste"),(VLOOKUP(C45,Tabela1[#All],9,0)*E45),AND(B45="Venda de produtos",H45="Nordeste"),(VLOOKUP(C45,Tabela1[#All],11,0)*E45),AND("Venda de produtos",H45="Norte/Centro-Oeste"),(VLOOKUP(C45,Tabela1[#All],13,0)*E45))))))</f>
        <v/>
      </c>
      <c r="G45" s="16" t="str">
        <f>IF(B45="Compra de estoque",VLOOKUP(C45,Tabela1[#All],4,0)*E45,"")</f>
        <v/>
      </c>
      <c r="H45" s="16"/>
    </row>
    <row r="46" spans="1:8" x14ac:dyDescent="0.25">
      <c r="A46" s="14" t="str">
        <f t="shared" ca="1" si="0"/>
        <v/>
      </c>
      <c r="D46" s="15" t="str">
        <f>IF(C46="","",VLOOKUP(C46,Tabela1[#All],2,0))</f>
        <v/>
      </c>
      <c r="F46" s="16" t="str" cm="1">
        <f t="array" ref="F46">IF(B46="","",(IF(B46="Compra de estoque","",(_xlfn.IFS(AND(B46="Venda de produtos",H46="Sul/Sudeste"),(VLOOKUP(C46,Tabela1[#All],9,0)*E46),AND(B46="Venda de produtos",H46="Nordeste"),(VLOOKUP(C46,Tabela1[#All],11,0)*E46),AND("Venda de produtos",H46="Norte/Centro-Oeste"),(VLOOKUP(C46,Tabela1[#All],13,0)*E46))))))</f>
        <v/>
      </c>
      <c r="G46" s="16" t="str">
        <f>IF(B46="Compra de estoque",VLOOKUP(C46,Tabela1[#All],4,0)*E46,"")</f>
        <v/>
      </c>
      <c r="H46" s="16"/>
    </row>
    <row r="47" spans="1:8" x14ac:dyDescent="0.25">
      <c r="A47" s="14" t="str">
        <f t="shared" ca="1" si="0"/>
        <v/>
      </c>
      <c r="D47" s="15" t="str">
        <f>IF(C47="","",VLOOKUP(C47,Tabela1[#All],2,0))</f>
        <v/>
      </c>
      <c r="F47" s="16" t="str" cm="1">
        <f t="array" ref="F47">IF(B47="","",(IF(B47="Compra de estoque","",(_xlfn.IFS(AND(B47="Venda de produtos",H47="Sul/Sudeste"),(VLOOKUP(C47,Tabela1[#All],9,0)*E47),AND(B47="Venda de produtos",H47="Nordeste"),(VLOOKUP(C47,Tabela1[#All],11,0)*E47),AND("Venda de produtos",H47="Norte/Centro-Oeste"),(VLOOKUP(C47,Tabela1[#All],13,0)*E47))))))</f>
        <v/>
      </c>
      <c r="G47" s="16" t="str">
        <f>IF(B47="Compra de estoque",VLOOKUP(C47,Tabela1[#All],4,0)*E47,"")</f>
        <v/>
      </c>
      <c r="H47" s="16"/>
    </row>
    <row r="48" spans="1:8" x14ac:dyDescent="0.25">
      <c r="A48" s="14" t="str">
        <f t="shared" ca="1" si="0"/>
        <v/>
      </c>
      <c r="D48" s="15" t="str">
        <f>IF(C48="","",VLOOKUP(C48,Tabela1[#All],2,0))</f>
        <v/>
      </c>
      <c r="F48" s="16" t="str" cm="1">
        <f t="array" ref="F48">IF(B48="","",(IF(B48="Compra de estoque","",(_xlfn.IFS(AND(B48="Venda de produtos",H48="Sul/Sudeste"),(VLOOKUP(C48,Tabela1[#All],9,0)*E48),AND(B48="Venda de produtos",H48="Nordeste"),(VLOOKUP(C48,Tabela1[#All],11,0)*E48),AND("Venda de produtos",H48="Norte/Centro-Oeste"),(VLOOKUP(C48,Tabela1[#All],13,0)*E48))))))</f>
        <v/>
      </c>
      <c r="G48" s="16" t="str">
        <f>IF(B48="Compra de estoque",VLOOKUP(C48,Tabela1[#All],4,0)*E48,"")</f>
        <v/>
      </c>
      <c r="H48" s="16"/>
    </row>
    <row r="49" spans="1:8" x14ac:dyDescent="0.25">
      <c r="A49" s="14" t="str">
        <f t="shared" ca="1" si="0"/>
        <v/>
      </c>
      <c r="D49" s="15" t="str">
        <f>IF(C49="","",VLOOKUP(C49,Tabela1[#All],2,0))</f>
        <v/>
      </c>
      <c r="F49" s="16" t="str" cm="1">
        <f t="array" ref="F49">IF(B49="","",(IF(B49="Compra de estoque","",(_xlfn.IFS(AND(B49="Venda de produtos",H49="Sul/Sudeste"),(VLOOKUP(C49,Tabela1[#All],9,0)*E49),AND(B49="Venda de produtos",H49="Nordeste"),(VLOOKUP(C49,Tabela1[#All],11,0)*E49),AND("Venda de produtos",H49="Norte/Centro-Oeste"),(VLOOKUP(C49,Tabela1[#All],13,0)*E49))))))</f>
        <v/>
      </c>
      <c r="G49" s="16" t="str">
        <f>IF(B49="Compra de estoque",VLOOKUP(C49,Tabela1[#All],4,0)*E49,"")</f>
        <v/>
      </c>
      <c r="H49" s="16"/>
    </row>
    <row r="50" spans="1:8" x14ac:dyDescent="0.25">
      <c r="A50" s="14" t="str">
        <f t="shared" ca="1" si="0"/>
        <v/>
      </c>
      <c r="D50" s="15" t="str">
        <f>IF(C50="","",VLOOKUP(C50,Tabela1[#All],2,0))</f>
        <v/>
      </c>
      <c r="F50" s="16" t="str" cm="1">
        <f t="array" ref="F50">IF(B50="","",(IF(B50="Compra de estoque","",(_xlfn.IFS(AND(B50="Venda de produtos",H50="Sul/Sudeste"),(VLOOKUP(C50,Tabela1[#All],9,0)*E50),AND(B50="Venda de produtos",H50="Nordeste"),(VLOOKUP(C50,Tabela1[#All],11,0)*E50),AND("Venda de produtos",H50="Norte/Centro-Oeste"),(VLOOKUP(C50,Tabela1[#All],13,0)*E50))))))</f>
        <v/>
      </c>
      <c r="G50" s="16" t="str">
        <f>IF(B50="Compra de estoque",VLOOKUP(C50,Tabela1[#All],4,0)*E50,"")</f>
        <v/>
      </c>
      <c r="H50" s="16"/>
    </row>
    <row r="51" spans="1:8" x14ac:dyDescent="0.25">
      <c r="A51" s="14" t="str">
        <f t="shared" ca="1" si="0"/>
        <v/>
      </c>
      <c r="D51" s="15" t="str">
        <f>IF(C51="","",VLOOKUP(C51,Tabela1[#All],2,0))</f>
        <v/>
      </c>
      <c r="F51" s="16" t="str" cm="1">
        <f t="array" ref="F51">IF(B51="","",(IF(B51="Compra de estoque","",(_xlfn.IFS(AND(B51="Venda de produtos",H51="Sul/Sudeste"),(VLOOKUP(C51,Tabela1[#All],9,0)*E51),AND(B51="Venda de produtos",H51="Nordeste"),(VLOOKUP(C51,Tabela1[#All],11,0)*E51),AND("Venda de produtos",H51="Norte/Centro-Oeste"),(VLOOKUP(C51,Tabela1[#All],13,0)*E51))))))</f>
        <v/>
      </c>
      <c r="G51" s="16" t="str">
        <f>IF(B51="Compra de estoque",VLOOKUP(C51,Tabela1[#All],4,0)*E51,"")</f>
        <v/>
      </c>
      <c r="H51" s="16"/>
    </row>
    <row r="52" spans="1:8" x14ac:dyDescent="0.25">
      <c r="A52" s="14" t="str">
        <f t="shared" ca="1" si="0"/>
        <v/>
      </c>
      <c r="D52" s="15" t="str">
        <f>IF(C52="","",VLOOKUP(C52,Tabela1[#All],2,0))</f>
        <v/>
      </c>
      <c r="F52" s="16" t="str" cm="1">
        <f t="array" ref="F52">IF(B52="","",(IF(B52="Compra de estoque","",(_xlfn.IFS(AND(B52="Venda de produtos",H52="Sul/Sudeste"),(VLOOKUP(C52,Tabela1[#All],9,0)*E52),AND(B52="Venda de produtos",H52="Nordeste"),(VLOOKUP(C52,Tabela1[#All],11,0)*E52),AND("Venda de produtos",H52="Norte/Centro-Oeste"),(VLOOKUP(C52,Tabela1[#All],13,0)*E52))))))</f>
        <v/>
      </c>
      <c r="G52" s="16" t="str">
        <f>IF(B52="Compra de estoque",VLOOKUP(C52,Tabela1[#All],4,0)*E52,"")</f>
        <v/>
      </c>
      <c r="H52" s="16"/>
    </row>
    <row r="53" spans="1:8" x14ac:dyDescent="0.25">
      <c r="A53" s="14" t="str">
        <f t="shared" ca="1" si="0"/>
        <v/>
      </c>
      <c r="D53" s="15" t="str">
        <f>IF(C53="","",VLOOKUP(C53,Tabela1[#All],2,0))</f>
        <v/>
      </c>
      <c r="F53" s="16" t="str" cm="1">
        <f t="array" ref="F53">IF(B53="","",(IF(B53="Compra de estoque","",(_xlfn.IFS(AND(B53="Venda de produtos",H53="Sul/Sudeste"),(VLOOKUP(C53,Tabela1[#All],9,0)*E53),AND(B53="Venda de produtos",H53="Nordeste"),(VLOOKUP(C53,Tabela1[#All],11,0)*E53),AND("Venda de produtos",H53="Norte/Centro-Oeste"),(VLOOKUP(C53,Tabela1[#All],13,0)*E53))))))</f>
        <v/>
      </c>
      <c r="G53" s="16" t="str">
        <f>IF(B53="Compra de estoque",VLOOKUP(C53,Tabela1[#All],4,0)*E53,"")</f>
        <v/>
      </c>
      <c r="H53" s="16"/>
    </row>
    <row r="54" spans="1:8" x14ac:dyDescent="0.25">
      <c r="A54" s="14" t="str">
        <f t="shared" ca="1" si="0"/>
        <v/>
      </c>
      <c r="D54" s="15" t="str">
        <f>IF(C54="","",VLOOKUP(C54,Tabela1[#All],2,0))</f>
        <v/>
      </c>
      <c r="F54" s="16" t="str" cm="1">
        <f t="array" ref="F54">IF(B54="","",(IF(B54="Compra de estoque","",(_xlfn.IFS(AND(B54="Venda de produtos",H54="Sul/Sudeste"),(VLOOKUP(C54,Tabela1[#All],9,0)*E54),AND(B54="Venda de produtos",H54="Nordeste"),(VLOOKUP(C54,Tabela1[#All],11,0)*E54),AND("Venda de produtos",H54="Norte/Centro-Oeste"),(VLOOKUP(C54,Tabela1[#All],13,0)*E54))))))</f>
        <v/>
      </c>
      <c r="G54" s="16" t="str">
        <f>IF(B54="Compra de estoque",VLOOKUP(C54,Tabela1[#All],4,0)*E54,"")</f>
        <v/>
      </c>
      <c r="H54" s="16"/>
    </row>
    <row r="55" spans="1:8" x14ac:dyDescent="0.25">
      <c r="A55" s="14" t="str">
        <f t="shared" ca="1" si="0"/>
        <v/>
      </c>
      <c r="D55" s="15" t="str">
        <f>IF(C55="","",VLOOKUP(C55,Tabela1[#All],2,0))</f>
        <v/>
      </c>
      <c r="F55" s="16" t="str" cm="1">
        <f t="array" ref="F55">IF(B55="","",(IF(B55="Compra de estoque","",(_xlfn.IFS(AND(B55="Venda de produtos",H55="Sul/Sudeste"),(VLOOKUP(C55,Tabela1[#All],9,0)*E55),AND(B55="Venda de produtos",H55="Nordeste"),(VLOOKUP(C55,Tabela1[#All],11,0)*E55),AND("Venda de produtos",H55="Norte/Centro-Oeste"),(VLOOKUP(C55,Tabela1[#All],13,0)*E55))))))</f>
        <v/>
      </c>
      <c r="G55" s="16" t="str">
        <f>IF(B55="Compra de estoque",VLOOKUP(C55,Tabela1[#All],4,0)*E55,"")</f>
        <v/>
      </c>
      <c r="H55" s="16"/>
    </row>
    <row r="56" spans="1:8" x14ac:dyDescent="0.25">
      <c r="A56" s="14" t="str">
        <f t="shared" ca="1" si="0"/>
        <v/>
      </c>
      <c r="D56" s="15" t="str">
        <f>IF(C56="","",VLOOKUP(C56,Tabela1[#All],2,0))</f>
        <v/>
      </c>
      <c r="F56" s="16" t="str" cm="1">
        <f t="array" ref="F56">IF(B56="","",(IF(B56="Compra de estoque","",(_xlfn.IFS(AND(B56="Venda de produtos",H56="Sul/Sudeste"),(VLOOKUP(C56,Tabela1[#All],9,0)*E56),AND(B56="Venda de produtos",H56="Nordeste"),(VLOOKUP(C56,Tabela1[#All],11,0)*E56),AND("Venda de produtos",H56="Norte/Centro-Oeste"),(VLOOKUP(C56,Tabela1[#All],13,0)*E56))))))</f>
        <v/>
      </c>
      <c r="G56" s="16" t="str">
        <f>IF(B56="Compra de estoque",VLOOKUP(C56,Tabela1[#All],4,0)*E56,"")</f>
        <v/>
      </c>
      <c r="H56" s="16"/>
    </row>
    <row r="57" spans="1:8" x14ac:dyDescent="0.25">
      <c r="A57" s="14" t="str">
        <f t="shared" ca="1" si="0"/>
        <v/>
      </c>
      <c r="D57" s="15" t="str">
        <f>IF(C57="","",VLOOKUP(C57,Tabela1[#All],2,0))</f>
        <v/>
      </c>
      <c r="F57" s="16" t="str" cm="1">
        <f t="array" ref="F57">IF(B57="","",(IF(B57="Compra de estoque","",(_xlfn.IFS(AND(B57="Venda de produtos",H57="Sul/Sudeste"),(VLOOKUP(C57,Tabela1[#All],9,0)*E57),AND(B57="Venda de produtos",H57="Nordeste"),(VLOOKUP(C57,Tabela1[#All],11,0)*E57),AND("Venda de produtos",H57="Norte/Centro-Oeste"),(VLOOKUP(C57,Tabela1[#All],13,0)*E57))))))</f>
        <v/>
      </c>
      <c r="G57" s="16" t="str">
        <f>IF(B57="Compra de estoque",VLOOKUP(C57,Tabela1[#All],4,0)*E57,"")</f>
        <v/>
      </c>
      <c r="H57" s="16"/>
    </row>
    <row r="58" spans="1:8" x14ac:dyDescent="0.25">
      <c r="A58" s="14" t="str">
        <f t="shared" ca="1" si="0"/>
        <v/>
      </c>
      <c r="D58" s="15" t="str">
        <f>IF(C58="","",VLOOKUP(C58,Tabela1[#All],2,0))</f>
        <v/>
      </c>
      <c r="F58" s="16" t="str" cm="1">
        <f t="array" ref="F58">IF(B58="","",(IF(B58="Compra de estoque","",(_xlfn.IFS(AND(B58="Venda de produtos",H58="Sul/Sudeste"),(VLOOKUP(C58,Tabela1[#All],9,0)*E58),AND(B58="Venda de produtos",H58="Nordeste"),(VLOOKUP(C58,Tabela1[#All],11,0)*E58),AND("Venda de produtos",H58="Norte/Centro-Oeste"),(VLOOKUP(C58,Tabela1[#All],13,0)*E58))))))</f>
        <v/>
      </c>
      <c r="G58" s="16" t="str">
        <f>IF(B58="Compra de estoque",VLOOKUP(C58,Tabela1[#All],4,0)*E58,"")</f>
        <v/>
      </c>
      <c r="H58" s="16"/>
    </row>
    <row r="59" spans="1:8" x14ac:dyDescent="0.25">
      <c r="A59" s="14" t="str">
        <f t="shared" ca="1" si="0"/>
        <v/>
      </c>
      <c r="D59" s="15" t="str">
        <f>IF(C59="","",VLOOKUP(C59,Tabela1[#All],2,0))</f>
        <v/>
      </c>
      <c r="F59" s="16" t="str" cm="1">
        <f t="array" ref="F59">IF(B59="","",(IF(B59="Compra de estoque","",(_xlfn.IFS(AND(B59="Venda de produtos",H59="Sul/Sudeste"),(VLOOKUP(C59,Tabela1[#All],9,0)*E59),AND(B59="Venda de produtos",H59="Nordeste"),(VLOOKUP(C59,Tabela1[#All],11,0)*E59),AND("Venda de produtos",H59="Norte/Centro-Oeste"),(VLOOKUP(C59,Tabela1[#All],13,0)*E59))))))</f>
        <v/>
      </c>
      <c r="G59" s="16" t="str">
        <f>IF(B59="Compra de estoque",VLOOKUP(C59,Tabela1[#All],4,0)*E59,"")</f>
        <v/>
      </c>
      <c r="H59" s="16"/>
    </row>
    <row r="60" spans="1:8" x14ac:dyDescent="0.25">
      <c r="A60" s="14" t="str">
        <f t="shared" ca="1" si="0"/>
        <v/>
      </c>
      <c r="D60" s="15" t="str">
        <f>IF(C60="","",VLOOKUP(C60,Tabela1[#All],2,0))</f>
        <v/>
      </c>
      <c r="F60" s="16" t="str" cm="1">
        <f t="array" ref="F60">IF(B60="","",(IF(B60="Compra de estoque","",(_xlfn.IFS(AND(B60="Venda de produtos",H60="Sul/Sudeste"),(VLOOKUP(C60,Tabela1[#All],9,0)*E60),AND(B60="Venda de produtos",H60="Nordeste"),(VLOOKUP(C60,Tabela1[#All],11,0)*E60),AND("Venda de produtos",H60="Norte/Centro-Oeste"),(VLOOKUP(C60,Tabela1[#All],13,0)*E60))))))</f>
        <v/>
      </c>
      <c r="G60" s="16" t="str">
        <f>IF(B60="Compra de estoque",VLOOKUP(C60,Tabela1[#All],4,0)*E60,"")</f>
        <v/>
      </c>
      <c r="H60" s="16"/>
    </row>
    <row r="61" spans="1:8" x14ac:dyDescent="0.25">
      <c r="A61" s="14" t="str">
        <f t="shared" ca="1" si="0"/>
        <v/>
      </c>
      <c r="D61" s="15" t="str">
        <f>IF(C61="","",VLOOKUP(C61,Tabela1[#All],2,0))</f>
        <v/>
      </c>
      <c r="F61" s="16" t="str" cm="1">
        <f t="array" ref="F61">IF(B61="","",(IF(B61="Compra de estoque","",(_xlfn.IFS(AND(B61="Venda de produtos",H61="Sul/Sudeste"),(VLOOKUP(C61,Tabela1[#All],9,0)*E61),AND(B61="Venda de produtos",H61="Nordeste"),(VLOOKUP(C61,Tabela1[#All],11,0)*E61),AND("Venda de produtos",H61="Norte/Centro-Oeste"),(VLOOKUP(C61,Tabela1[#All],13,0)*E61))))))</f>
        <v/>
      </c>
      <c r="G61" s="16" t="str">
        <f>IF(B61="Compra de estoque",VLOOKUP(C61,Tabela1[#All],4,0)*E61,"")</f>
        <v/>
      </c>
      <c r="H61" s="16"/>
    </row>
    <row r="62" spans="1:8" x14ac:dyDescent="0.25">
      <c r="A62" s="14" t="str">
        <f t="shared" ca="1" si="0"/>
        <v/>
      </c>
      <c r="D62" s="15" t="str">
        <f>IF(C62="","",VLOOKUP(C62,Tabela1[#All],2,0))</f>
        <v/>
      </c>
      <c r="F62" s="16" t="str" cm="1">
        <f t="array" ref="F62">IF(B62="","",(IF(B62="Compra de estoque","",(_xlfn.IFS(AND(B62="Venda de produtos",H62="Sul/Sudeste"),(VLOOKUP(C62,Tabela1[#All],9,0)*E62),AND(B62="Venda de produtos",H62="Nordeste"),(VLOOKUP(C62,Tabela1[#All],11,0)*E62),AND("Venda de produtos",H62="Norte/Centro-Oeste"),(VLOOKUP(C62,Tabela1[#All],13,0)*E62))))))</f>
        <v/>
      </c>
      <c r="G62" s="16" t="str">
        <f>IF(B62="Compra de estoque",VLOOKUP(C62,Tabela1[#All],4,0)*E62,"")</f>
        <v/>
      </c>
      <c r="H62" s="16"/>
    </row>
    <row r="63" spans="1:8" x14ac:dyDescent="0.25">
      <c r="A63" s="14" t="str">
        <f t="shared" ca="1" si="0"/>
        <v/>
      </c>
      <c r="D63" s="15" t="str">
        <f>IF(C63="","",VLOOKUP(C63,Tabela1[#All],2,0))</f>
        <v/>
      </c>
      <c r="F63" s="16" t="str" cm="1">
        <f t="array" ref="F63">IF(B63="","",(IF(B63="Compra de estoque","",(_xlfn.IFS(AND(B63="Venda de produtos",H63="Sul/Sudeste"),(VLOOKUP(C63,Tabela1[#All],9,0)*E63),AND(B63="Venda de produtos",H63="Nordeste"),(VLOOKUP(C63,Tabela1[#All],11,0)*E63),AND("Venda de produtos",H63="Norte/Centro-Oeste"),(VLOOKUP(C63,Tabela1[#All],13,0)*E63))))))</f>
        <v/>
      </c>
      <c r="G63" s="16" t="str">
        <f>IF(B63="Compra de estoque",VLOOKUP(C63,Tabela1[#All],4,0)*E63,"")</f>
        <v/>
      </c>
      <c r="H63" s="16"/>
    </row>
    <row r="64" spans="1:8" x14ac:dyDescent="0.25">
      <c r="A64" s="14" t="str">
        <f t="shared" ca="1" si="0"/>
        <v/>
      </c>
      <c r="D64" s="15" t="str">
        <f>IF(C64="","",VLOOKUP(C64,Tabela1[#All],2,0))</f>
        <v/>
      </c>
      <c r="F64" s="16" t="str" cm="1">
        <f t="array" ref="F64">IF(B64="","",(IF(B64="Compra de estoque","",(_xlfn.IFS(AND(B64="Venda de produtos",H64="Sul/Sudeste"),(VLOOKUP(C64,Tabela1[#All],9,0)*E64),AND(B64="Venda de produtos",H64="Nordeste"),(VLOOKUP(C64,Tabela1[#All],11,0)*E64),AND("Venda de produtos",H64="Norte/Centro-Oeste"),(VLOOKUP(C64,Tabela1[#All],13,0)*E64))))))</f>
        <v/>
      </c>
      <c r="G64" s="16" t="str">
        <f>IF(B64="Compra de estoque",VLOOKUP(C64,Tabela1[#All],4,0)*E64,"")</f>
        <v/>
      </c>
      <c r="H64" s="16"/>
    </row>
    <row r="65" spans="1:8" x14ac:dyDescent="0.25">
      <c r="A65" s="14" t="str">
        <f t="shared" ca="1" si="0"/>
        <v/>
      </c>
      <c r="D65" s="15" t="str">
        <f>IF(C65="","",VLOOKUP(C65,Tabela1[#All],2,0))</f>
        <v/>
      </c>
      <c r="F65" s="16" t="str" cm="1">
        <f t="array" ref="F65">IF(B65="","",(IF(B65="Compra de estoque","",(_xlfn.IFS(AND(B65="Venda de produtos",H65="Sul/Sudeste"),(VLOOKUP(C65,Tabela1[#All],9,0)*E65),AND(B65="Venda de produtos",H65="Nordeste"),(VLOOKUP(C65,Tabela1[#All],11,0)*E65),AND("Venda de produtos",H65="Norte/Centro-Oeste"),(VLOOKUP(C65,Tabela1[#All],13,0)*E65))))))</f>
        <v/>
      </c>
      <c r="G65" s="16" t="str">
        <f>IF(B65="Compra de estoque",VLOOKUP(C65,Tabela1[#All],4,0)*E65,"")</f>
        <v/>
      </c>
      <c r="H65" s="16"/>
    </row>
    <row r="66" spans="1:8" x14ac:dyDescent="0.25">
      <c r="A66" s="14" t="str">
        <f t="shared" ca="1" si="0"/>
        <v/>
      </c>
      <c r="D66" s="15" t="str">
        <f>IF(C66="","",VLOOKUP(C66,Tabela1[#All],2,0))</f>
        <v/>
      </c>
      <c r="F66" s="16" t="str" cm="1">
        <f t="array" ref="F66">IF(B66="","",(IF(B66="Compra de estoque","",(_xlfn.IFS(AND(B66="Venda de produtos",H66="Sul/Sudeste"),(VLOOKUP(C66,Tabela1[#All],9,0)*E66),AND(B66="Venda de produtos",H66="Nordeste"),(VLOOKUP(C66,Tabela1[#All],11,0)*E66),AND("Venda de produtos",H66="Norte/Centro-Oeste"),(VLOOKUP(C66,Tabela1[#All],13,0)*E66))))))</f>
        <v/>
      </c>
      <c r="G66" s="16" t="str">
        <f>IF(B66="Compra de estoque",VLOOKUP(C66,Tabela1[#All],4,0)*E66,"")</f>
        <v/>
      </c>
      <c r="H66" s="16"/>
    </row>
    <row r="67" spans="1:8" x14ac:dyDescent="0.25">
      <c r="A67" s="14" t="str">
        <f t="shared" ref="A67:A130" ca="1" si="1">IF(C67="","",NOW())</f>
        <v/>
      </c>
      <c r="D67" s="15" t="str">
        <f>IF(C67="","",VLOOKUP(C67,Tabela1[#All],2,0))</f>
        <v/>
      </c>
      <c r="F67" s="16" t="str" cm="1">
        <f t="array" ref="F67">IF(B67="","",(IF(B67="Compra de estoque","",(_xlfn.IFS(AND(B67="Venda de produtos",H67="Sul/Sudeste"),(VLOOKUP(C67,Tabela1[#All],9,0)*E67),AND(B67="Venda de produtos",H67="Nordeste"),(VLOOKUP(C67,Tabela1[#All],11,0)*E67),AND("Venda de produtos",H67="Norte/Centro-Oeste"),(VLOOKUP(C67,Tabela1[#All],13,0)*E67))))))</f>
        <v/>
      </c>
      <c r="G67" s="16" t="str">
        <f>IF(B67="Compra de estoque",VLOOKUP(C67,Tabela1[#All],4,0)*E67,"")</f>
        <v/>
      </c>
      <c r="H67" s="16"/>
    </row>
    <row r="68" spans="1:8" x14ac:dyDescent="0.25">
      <c r="A68" s="14" t="str">
        <f t="shared" ca="1" si="1"/>
        <v/>
      </c>
      <c r="D68" s="15" t="str">
        <f>IF(C68="","",VLOOKUP(C68,Tabela1[#All],2,0))</f>
        <v/>
      </c>
      <c r="F68" s="16" t="str" cm="1">
        <f t="array" ref="F68">IF(B68="","",(IF(B68="Compra de estoque","",(_xlfn.IFS(AND(B68="Venda de produtos",H68="Sul/Sudeste"),(VLOOKUP(C68,Tabela1[#All],9,0)*E68),AND(B68="Venda de produtos",H68="Nordeste"),(VLOOKUP(C68,Tabela1[#All],11,0)*E68),AND("Venda de produtos",H68="Norte/Centro-Oeste"),(VLOOKUP(C68,Tabela1[#All],13,0)*E68))))))</f>
        <v/>
      </c>
      <c r="G68" s="16" t="str">
        <f>IF(B68="Compra de estoque",VLOOKUP(C68,Tabela1[#All],4,0)*E68,"")</f>
        <v/>
      </c>
      <c r="H68" s="16"/>
    </row>
    <row r="69" spans="1:8" x14ac:dyDescent="0.25">
      <c r="A69" s="14" t="str">
        <f t="shared" ca="1" si="1"/>
        <v/>
      </c>
      <c r="D69" s="15" t="str">
        <f>IF(C69="","",VLOOKUP(C69,Tabela1[#All],2,0))</f>
        <v/>
      </c>
      <c r="F69" s="16" t="str" cm="1">
        <f t="array" ref="F69">IF(B69="","",(IF(B69="Compra de estoque","",(_xlfn.IFS(AND(B69="Venda de produtos",H69="Sul/Sudeste"),(VLOOKUP(C69,Tabela1[#All],9,0)*E69),AND(B69="Venda de produtos",H69="Nordeste"),(VLOOKUP(C69,Tabela1[#All],11,0)*E69),AND("Venda de produtos",H69="Norte/Centro-Oeste"),(VLOOKUP(C69,Tabela1[#All],13,0)*E69))))))</f>
        <v/>
      </c>
      <c r="G69" s="16" t="str">
        <f>IF(B69="Compra de estoque",VLOOKUP(C69,Tabela1[#All],4,0)*E69,"")</f>
        <v/>
      </c>
      <c r="H69" s="16"/>
    </row>
    <row r="70" spans="1:8" x14ac:dyDescent="0.25">
      <c r="A70" s="14" t="str">
        <f t="shared" ca="1" si="1"/>
        <v/>
      </c>
      <c r="D70" s="15" t="str">
        <f>IF(C70="","",VLOOKUP(C70,Tabela1[#All],2,0))</f>
        <v/>
      </c>
      <c r="F70" s="16" t="str" cm="1">
        <f t="array" ref="F70">IF(B70="","",(IF(B70="Compra de estoque","",(_xlfn.IFS(AND(B70="Venda de produtos",H70="Sul/Sudeste"),(VLOOKUP(C70,Tabela1[#All],9,0)*E70),AND(B70="Venda de produtos",H70="Nordeste"),(VLOOKUP(C70,Tabela1[#All],11,0)*E70),AND("Venda de produtos",H70="Norte/Centro-Oeste"),(VLOOKUP(C70,Tabela1[#All],13,0)*E70))))))</f>
        <v/>
      </c>
      <c r="G70" s="16" t="str">
        <f>IF(B70="Compra de estoque",VLOOKUP(C70,Tabela1[#All],4,0)*E70,"")</f>
        <v/>
      </c>
      <c r="H70" s="16"/>
    </row>
    <row r="71" spans="1:8" x14ac:dyDescent="0.25">
      <c r="A71" s="14" t="str">
        <f t="shared" ca="1" si="1"/>
        <v/>
      </c>
      <c r="D71" s="15" t="str">
        <f>IF(C71="","",VLOOKUP(C71,Tabela1[#All],2,0))</f>
        <v/>
      </c>
      <c r="F71" s="16" t="str" cm="1">
        <f t="array" ref="F71">IF(B71="","",(IF(B71="Compra de estoque","",(_xlfn.IFS(AND(B71="Venda de produtos",H71="Sul/Sudeste"),(VLOOKUP(C71,Tabela1[#All],9,0)*E71),AND(B71="Venda de produtos",H71="Nordeste"),(VLOOKUP(C71,Tabela1[#All],11,0)*E71),AND("Venda de produtos",H71="Norte/Centro-Oeste"),(VLOOKUP(C71,Tabela1[#All],13,0)*E71))))))</f>
        <v/>
      </c>
      <c r="G71" s="16" t="str">
        <f>IF(B71="Compra de estoque",VLOOKUP(C71,Tabela1[#All],4,0)*E71,"")</f>
        <v/>
      </c>
      <c r="H71" s="16"/>
    </row>
    <row r="72" spans="1:8" x14ac:dyDescent="0.25">
      <c r="A72" s="14" t="str">
        <f t="shared" ca="1" si="1"/>
        <v/>
      </c>
      <c r="D72" s="15" t="str">
        <f>IF(C72="","",VLOOKUP(C72,Tabela1[#All],2,0))</f>
        <v/>
      </c>
      <c r="F72" s="16" t="str" cm="1">
        <f t="array" ref="F72">IF(B72="","",(IF(B72="Compra de estoque","",(_xlfn.IFS(AND(B72="Venda de produtos",H72="Sul/Sudeste"),(VLOOKUP(C72,Tabela1[#All],9,0)*E72),AND(B72="Venda de produtos",H72="Nordeste"),(VLOOKUP(C72,Tabela1[#All],11,0)*E72),AND("Venda de produtos",H72="Norte/Centro-Oeste"),(VLOOKUP(C72,Tabela1[#All],13,0)*E72))))))</f>
        <v/>
      </c>
      <c r="G72" s="16" t="str">
        <f>IF(B72="Compra de estoque",VLOOKUP(C72,Tabela1[#All],4,0)*E72,"")</f>
        <v/>
      </c>
      <c r="H72" s="16"/>
    </row>
    <row r="73" spans="1:8" x14ac:dyDescent="0.25">
      <c r="A73" s="14" t="str">
        <f t="shared" ca="1" si="1"/>
        <v/>
      </c>
      <c r="D73" s="15" t="str">
        <f>IF(C73="","",VLOOKUP(C73,Tabela1[#All],2,0))</f>
        <v/>
      </c>
      <c r="F73" s="16" t="str" cm="1">
        <f t="array" ref="F73">IF(B73="","",(IF(B73="Compra de estoque","",(_xlfn.IFS(AND(B73="Venda de produtos",H73="Sul/Sudeste"),(VLOOKUP(C73,Tabela1[#All],9,0)*E73),AND(B73="Venda de produtos",H73="Nordeste"),(VLOOKUP(C73,Tabela1[#All],11,0)*E73),AND("Venda de produtos",H73="Norte/Centro-Oeste"),(VLOOKUP(C73,Tabela1[#All],13,0)*E73))))))</f>
        <v/>
      </c>
      <c r="G73" s="16" t="str">
        <f>IF(B73="Compra de estoque",VLOOKUP(C73,Tabela1[#All],4,0)*E73,"")</f>
        <v/>
      </c>
      <c r="H73" s="16"/>
    </row>
    <row r="74" spans="1:8" x14ac:dyDescent="0.25">
      <c r="A74" s="14" t="str">
        <f t="shared" ca="1" si="1"/>
        <v/>
      </c>
      <c r="D74" s="15" t="str">
        <f>IF(C74="","",VLOOKUP(C74,Tabela1[#All],2,0))</f>
        <v/>
      </c>
      <c r="F74" s="16" t="str" cm="1">
        <f t="array" ref="F74">IF(B74="","",(IF(B74="Compra de estoque","",(_xlfn.IFS(AND(B74="Venda de produtos",H74="Sul/Sudeste"),(VLOOKUP(C74,Tabela1[#All],9,0)*E74),AND(B74="Venda de produtos",H74="Nordeste"),(VLOOKUP(C74,Tabela1[#All],11,0)*E74),AND("Venda de produtos",H74="Norte/Centro-Oeste"),(VLOOKUP(C74,Tabela1[#All],13,0)*E74))))))</f>
        <v/>
      </c>
      <c r="G74" s="16" t="str">
        <f>IF(B74="Compra de estoque",VLOOKUP(C74,Tabela1[#All],4,0)*E74,"")</f>
        <v/>
      </c>
      <c r="H74" s="16"/>
    </row>
    <row r="75" spans="1:8" x14ac:dyDescent="0.25">
      <c r="A75" s="14" t="str">
        <f t="shared" ca="1" si="1"/>
        <v/>
      </c>
      <c r="D75" s="15" t="str">
        <f>IF(C75="","",VLOOKUP(C75,Tabela1[#All],2,0))</f>
        <v/>
      </c>
      <c r="F75" s="16" t="str" cm="1">
        <f t="array" ref="F75">IF(B75="","",(IF(B75="Compra de estoque","",(_xlfn.IFS(AND(B75="Venda de produtos",H75="Sul/Sudeste"),(VLOOKUP(C75,Tabela1[#All],9,0)*E75),AND(B75="Venda de produtos",H75="Nordeste"),(VLOOKUP(C75,Tabela1[#All],11,0)*E75),AND("Venda de produtos",H75="Norte/Centro-Oeste"),(VLOOKUP(C75,Tabela1[#All],13,0)*E75))))))</f>
        <v/>
      </c>
      <c r="G75" s="16" t="str">
        <f>IF(B75="Compra de estoque",VLOOKUP(C75,Tabela1[#All],4,0)*E75,"")</f>
        <v/>
      </c>
      <c r="H75" s="16"/>
    </row>
    <row r="76" spans="1:8" x14ac:dyDescent="0.25">
      <c r="A76" s="14" t="str">
        <f t="shared" ca="1" si="1"/>
        <v/>
      </c>
      <c r="D76" s="15" t="str">
        <f>IF(C76="","",VLOOKUP(C76,Tabela1[#All],2,0))</f>
        <v/>
      </c>
      <c r="F76" s="16" t="str" cm="1">
        <f t="array" ref="F76">IF(B76="","",(IF(B76="Compra de estoque","",(_xlfn.IFS(AND(B76="Venda de produtos",H76="Sul/Sudeste"),(VLOOKUP(C76,Tabela1[#All],9,0)*E76),AND(B76="Venda de produtos",H76="Nordeste"),(VLOOKUP(C76,Tabela1[#All],11,0)*E76),AND("Venda de produtos",H76="Norte/Centro-Oeste"),(VLOOKUP(C76,Tabela1[#All],13,0)*E76))))))</f>
        <v/>
      </c>
      <c r="G76" s="16" t="str">
        <f>IF(B76="Compra de estoque",VLOOKUP(C76,Tabela1[#All],4,0)*E76,"")</f>
        <v/>
      </c>
      <c r="H76" s="16"/>
    </row>
    <row r="77" spans="1:8" x14ac:dyDescent="0.25">
      <c r="A77" s="14" t="str">
        <f t="shared" ca="1" si="1"/>
        <v/>
      </c>
      <c r="D77" s="15" t="str">
        <f>IF(C77="","",VLOOKUP(C77,Tabela1[#All],2,0))</f>
        <v/>
      </c>
      <c r="F77" s="16" t="str" cm="1">
        <f t="array" ref="F77">IF(B77="","",(IF(B77="Compra de estoque","",(_xlfn.IFS(AND(B77="Venda de produtos",H77="Sul/Sudeste"),(VLOOKUP(C77,Tabela1[#All],9,0)*E77),AND(B77="Venda de produtos",H77="Nordeste"),(VLOOKUP(C77,Tabela1[#All],11,0)*E77),AND("Venda de produtos",H77="Norte/Centro-Oeste"),(VLOOKUP(C77,Tabela1[#All],13,0)*E77))))))</f>
        <v/>
      </c>
      <c r="G77" s="16" t="str">
        <f>IF(B77="Compra de estoque",VLOOKUP(C77,Tabela1[#All],4,0)*E77,"")</f>
        <v/>
      </c>
      <c r="H77" s="16"/>
    </row>
    <row r="78" spans="1:8" x14ac:dyDescent="0.25">
      <c r="A78" s="14" t="str">
        <f t="shared" ca="1" si="1"/>
        <v/>
      </c>
      <c r="D78" s="15" t="str">
        <f>IF(C78="","",VLOOKUP(C78,Tabela1[#All],2,0))</f>
        <v/>
      </c>
      <c r="F78" s="16" t="str" cm="1">
        <f t="array" ref="F78">IF(B78="","",(IF(B78="Compra de estoque","",(_xlfn.IFS(AND(B78="Venda de produtos",H78="Sul/Sudeste"),(VLOOKUP(C78,Tabela1[#All],9,0)*E78),AND(B78="Venda de produtos",H78="Nordeste"),(VLOOKUP(C78,Tabela1[#All],11,0)*E78),AND("Venda de produtos",H78="Norte/Centro-Oeste"),(VLOOKUP(C78,Tabela1[#All],13,0)*E78))))))</f>
        <v/>
      </c>
      <c r="G78" s="16" t="str">
        <f>IF(B78="Compra de estoque",VLOOKUP(C78,Tabela1[#All],4,0)*E78,"")</f>
        <v/>
      </c>
      <c r="H78" s="16"/>
    </row>
    <row r="79" spans="1:8" x14ac:dyDescent="0.25">
      <c r="A79" s="14" t="str">
        <f t="shared" ca="1" si="1"/>
        <v/>
      </c>
      <c r="D79" s="15" t="str">
        <f>IF(C79="","",VLOOKUP(C79,Tabela1[#All],2,0))</f>
        <v/>
      </c>
      <c r="F79" s="16" t="str" cm="1">
        <f t="array" ref="F79">IF(B79="","",(IF(B79="Compra de estoque","",(_xlfn.IFS(AND(B79="Venda de produtos",H79="Sul/Sudeste"),(VLOOKUP(C79,Tabela1[#All],9,0)*E79),AND(B79="Venda de produtos",H79="Nordeste"),(VLOOKUP(C79,Tabela1[#All],11,0)*E79),AND("Venda de produtos",H79="Norte/Centro-Oeste"),(VLOOKUP(C79,Tabela1[#All],13,0)*E79))))))</f>
        <v/>
      </c>
      <c r="G79" s="16" t="str">
        <f>IF(B79="Compra de estoque",VLOOKUP(C79,Tabela1[#All],4,0)*E79,"")</f>
        <v/>
      </c>
      <c r="H79" s="16"/>
    </row>
    <row r="80" spans="1:8" x14ac:dyDescent="0.25">
      <c r="A80" s="14" t="str">
        <f t="shared" ca="1" si="1"/>
        <v/>
      </c>
      <c r="D80" s="15" t="str">
        <f>IF(C80="","",VLOOKUP(C80,Tabela1[#All],2,0))</f>
        <v/>
      </c>
      <c r="F80" s="16" t="str" cm="1">
        <f t="array" ref="F80">IF(B80="","",(IF(B80="Compra de estoque","",(_xlfn.IFS(AND(B80="Venda de produtos",H80="Sul/Sudeste"),(VLOOKUP(C80,Tabela1[#All],9,0)*E80),AND(B80="Venda de produtos",H80="Nordeste"),(VLOOKUP(C80,Tabela1[#All],11,0)*E80),AND("Venda de produtos",H80="Norte/Centro-Oeste"),(VLOOKUP(C80,Tabela1[#All],13,0)*E80))))))</f>
        <v/>
      </c>
      <c r="G80" s="16" t="str">
        <f>IF(B80="Compra de estoque",VLOOKUP(C80,Tabela1[#All],4,0)*E80,"")</f>
        <v/>
      </c>
      <c r="H80" s="16"/>
    </row>
    <row r="81" spans="1:8" x14ac:dyDescent="0.25">
      <c r="A81" s="14" t="str">
        <f t="shared" ca="1" si="1"/>
        <v/>
      </c>
      <c r="D81" s="15" t="str">
        <f>IF(C81="","",VLOOKUP(C81,Tabela1[#All],2,0))</f>
        <v/>
      </c>
      <c r="F81" s="16" t="str" cm="1">
        <f t="array" ref="F81">IF(B81="","",(IF(B81="Compra de estoque","",(_xlfn.IFS(AND(B81="Venda de produtos",H81="Sul/Sudeste"),(VLOOKUP(C81,Tabela1[#All],9,0)*E81),AND(B81="Venda de produtos",H81="Nordeste"),(VLOOKUP(C81,Tabela1[#All],11,0)*E81),AND("Venda de produtos",H81="Norte/Centro-Oeste"),(VLOOKUP(C81,Tabela1[#All],13,0)*E81))))))</f>
        <v/>
      </c>
      <c r="G81" s="16" t="str">
        <f>IF(B81="Compra de estoque",VLOOKUP(C81,Tabela1[#All],4,0)*E81,"")</f>
        <v/>
      </c>
      <c r="H81" s="16"/>
    </row>
    <row r="82" spans="1:8" x14ac:dyDescent="0.25">
      <c r="A82" s="14" t="str">
        <f t="shared" ca="1" si="1"/>
        <v/>
      </c>
      <c r="D82" s="15" t="str">
        <f>IF(C82="","",VLOOKUP(C82,Tabela1[#All],2,0))</f>
        <v/>
      </c>
      <c r="F82" s="16" t="str" cm="1">
        <f t="array" ref="F82">IF(B82="","",(IF(B82="Compra de estoque","",(_xlfn.IFS(AND(B82="Venda de produtos",H82="Sul/Sudeste"),(VLOOKUP(C82,Tabela1[#All],9,0)*E82),AND(B82="Venda de produtos",H82="Nordeste"),(VLOOKUP(C82,Tabela1[#All],11,0)*E82),AND("Venda de produtos",H82="Norte/Centro-Oeste"),(VLOOKUP(C82,Tabela1[#All],13,0)*E82))))))</f>
        <v/>
      </c>
      <c r="G82" s="16" t="str">
        <f>IF(B82="Compra de estoque",VLOOKUP(C82,Tabela1[#All],4,0)*E82,"")</f>
        <v/>
      </c>
      <c r="H82" s="16"/>
    </row>
    <row r="83" spans="1:8" x14ac:dyDescent="0.25">
      <c r="A83" s="14" t="str">
        <f t="shared" ca="1" si="1"/>
        <v/>
      </c>
      <c r="D83" s="15" t="str">
        <f>IF(C83="","",VLOOKUP(C83,Tabela1[#All],2,0))</f>
        <v/>
      </c>
      <c r="F83" s="16" t="str" cm="1">
        <f t="array" ref="F83">IF(B83="","",(IF(B83="Compra de estoque","",(_xlfn.IFS(AND(B83="Venda de produtos",H83="Sul/Sudeste"),(VLOOKUP(C83,Tabela1[#All],9,0)*E83),AND(B83="Venda de produtos",H83="Nordeste"),(VLOOKUP(C83,Tabela1[#All],11,0)*E83),AND("Venda de produtos",H83="Norte/Centro-Oeste"),(VLOOKUP(C83,Tabela1[#All],13,0)*E83))))))</f>
        <v/>
      </c>
      <c r="G83" s="16" t="str">
        <f>IF(B83="Compra de estoque",VLOOKUP(C83,Tabela1[#All],4,0)*E83,"")</f>
        <v/>
      </c>
      <c r="H83" s="16"/>
    </row>
    <row r="84" spans="1:8" x14ac:dyDescent="0.25">
      <c r="A84" s="14" t="str">
        <f t="shared" ca="1" si="1"/>
        <v/>
      </c>
      <c r="D84" s="15" t="str">
        <f>IF(C84="","",VLOOKUP(C84,Tabela1[#All],2,0))</f>
        <v/>
      </c>
      <c r="F84" s="16" t="str" cm="1">
        <f t="array" ref="F84">IF(B84="","",(IF(B84="Compra de estoque","",(_xlfn.IFS(AND(B84="Venda de produtos",H84="Sul/Sudeste"),(VLOOKUP(C84,Tabela1[#All],9,0)*E84),AND(B84="Venda de produtos",H84="Nordeste"),(VLOOKUP(C84,Tabela1[#All],11,0)*E84),AND("Venda de produtos",H84="Norte/Centro-Oeste"),(VLOOKUP(C84,Tabela1[#All],13,0)*E84))))))</f>
        <v/>
      </c>
      <c r="G84" s="16" t="str">
        <f>IF(B84="Compra de estoque",VLOOKUP(C84,Tabela1[#All],4,0)*E84,"")</f>
        <v/>
      </c>
      <c r="H84" s="16"/>
    </row>
    <row r="85" spans="1:8" x14ac:dyDescent="0.25">
      <c r="A85" s="14" t="str">
        <f t="shared" ca="1" si="1"/>
        <v/>
      </c>
      <c r="D85" s="15" t="str">
        <f>IF(C85="","",VLOOKUP(C85,Tabela1[#All],2,0))</f>
        <v/>
      </c>
      <c r="F85" s="16" t="str" cm="1">
        <f t="array" ref="F85">IF(B85="","",(IF(B85="Compra de estoque","",(_xlfn.IFS(AND(B85="Venda de produtos",H85="Sul/Sudeste"),(VLOOKUP(C85,Tabela1[#All],9,0)*E85),AND(B85="Venda de produtos",H85="Nordeste"),(VLOOKUP(C85,Tabela1[#All],11,0)*E85),AND("Venda de produtos",H85="Norte/Centro-Oeste"),(VLOOKUP(C85,Tabela1[#All],13,0)*E85))))))</f>
        <v/>
      </c>
      <c r="G85" s="16" t="str">
        <f>IF(B85="Compra de estoque",VLOOKUP(C85,Tabela1[#All],4,0)*E85,"")</f>
        <v/>
      </c>
      <c r="H85" s="16"/>
    </row>
    <row r="86" spans="1:8" x14ac:dyDescent="0.25">
      <c r="A86" s="14" t="str">
        <f t="shared" ca="1" si="1"/>
        <v/>
      </c>
      <c r="D86" s="15" t="str">
        <f>IF(C86="","",VLOOKUP(C86,Tabela1[#All],2,0))</f>
        <v/>
      </c>
      <c r="F86" s="16" t="str" cm="1">
        <f t="array" ref="F86">IF(B86="","",(IF(B86="Compra de estoque","",(_xlfn.IFS(AND(B86="Venda de produtos",H86="Sul/Sudeste"),(VLOOKUP(C86,Tabela1[#All],9,0)*E86),AND(B86="Venda de produtos",H86="Nordeste"),(VLOOKUP(C86,Tabela1[#All],11,0)*E86),AND("Venda de produtos",H86="Norte/Centro-Oeste"),(VLOOKUP(C86,Tabela1[#All],13,0)*E86))))))</f>
        <v/>
      </c>
      <c r="G86" s="16" t="str">
        <f>IF(B86="Compra de estoque",VLOOKUP(C86,Tabela1[#All],4,0)*E86,"")</f>
        <v/>
      </c>
      <c r="H86" s="16"/>
    </row>
    <row r="87" spans="1:8" x14ac:dyDescent="0.25">
      <c r="A87" s="14" t="str">
        <f t="shared" ca="1" si="1"/>
        <v/>
      </c>
      <c r="D87" s="15" t="str">
        <f>IF(C87="","",VLOOKUP(C87,Tabela1[#All],2,0))</f>
        <v/>
      </c>
      <c r="F87" s="16" t="str" cm="1">
        <f t="array" ref="F87">IF(B87="","",(IF(B87="Compra de estoque","",(_xlfn.IFS(AND(B87="Venda de produtos",H87="Sul/Sudeste"),(VLOOKUP(C87,Tabela1[#All],9,0)*E87),AND(B87="Venda de produtos",H87="Nordeste"),(VLOOKUP(C87,Tabela1[#All],11,0)*E87),AND("Venda de produtos",H87="Norte/Centro-Oeste"),(VLOOKUP(C87,Tabela1[#All],13,0)*E87))))))</f>
        <v/>
      </c>
      <c r="G87" s="16" t="str">
        <f>IF(B87="Compra de estoque",VLOOKUP(C87,Tabela1[#All],4,0)*E87,"")</f>
        <v/>
      </c>
      <c r="H87" s="16"/>
    </row>
    <row r="88" spans="1:8" x14ac:dyDescent="0.25">
      <c r="A88" s="14" t="str">
        <f t="shared" ca="1" si="1"/>
        <v/>
      </c>
      <c r="D88" s="15" t="str">
        <f>IF(C88="","",VLOOKUP(C88,Tabela1[#All],2,0))</f>
        <v/>
      </c>
      <c r="F88" s="16" t="str" cm="1">
        <f t="array" ref="F88">IF(B88="","",(IF(B88="Compra de estoque","",(_xlfn.IFS(AND(B88="Venda de produtos",H88="Sul/Sudeste"),(VLOOKUP(C88,Tabela1[#All],9,0)*E88),AND(B88="Venda de produtos",H88="Nordeste"),(VLOOKUP(C88,Tabela1[#All],11,0)*E88),AND("Venda de produtos",H88="Norte/Centro-Oeste"),(VLOOKUP(C88,Tabela1[#All],13,0)*E88))))))</f>
        <v/>
      </c>
      <c r="G88" s="16" t="str">
        <f>IF(B88="Compra de estoque",VLOOKUP(C88,Tabela1[#All],4,0)*E88,"")</f>
        <v/>
      </c>
      <c r="H88" s="16"/>
    </row>
    <row r="89" spans="1:8" x14ac:dyDescent="0.25">
      <c r="A89" s="14" t="str">
        <f t="shared" ca="1" si="1"/>
        <v/>
      </c>
      <c r="D89" s="15" t="str">
        <f>IF(C89="","",VLOOKUP(C89,Tabela1[#All],2,0))</f>
        <v/>
      </c>
      <c r="F89" s="16" t="str" cm="1">
        <f t="array" ref="F89">IF(B89="","",(IF(B89="Compra de estoque","",(_xlfn.IFS(AND(B89="Venda de produtos",H89="Sul/Sudeste"),(VLOOKUP(C89,Tabela1[#All],9,0)*E89),AND(B89="Venda de produtos",H89="Nordeste"),(VLOOKUP(C89,Tabela1[#All],11,0)*E89),AND("Venda de produtos",H89="Norte/Centro-Oeste"),(VLOOKUP(C89,Tabela1[#All],13,0)*E89))))))</f>
        <v/>
      </c>
      <c r="G89" s="16" t="str">
        <f>IF(B89="Compra de estoque",VLOOKUP(C89,Tabela1[#All],4,0)*E89,"")</f>
        <v/>
      </c>
      <c r="H89" s="16"/>
    </row>
    <row r="90" spans="1:8" x14ac:dyDescent="0.25">
      <c r="A90" s="14" t="str">
        <f t="shared" ca="1" si="1"/>
        <v/>
      </c>
      <c r="D90" s="15" t="str">
        <f>IF(C90="","",VLOOKUP(C90,Tabela1[#All],2,0))</f>
        <v/>
      </c>
      <c r="F90" s="16" t="str" cm="1">
        <f t="array" ref="F90">IF(B90="","",(IF(B90="Compra de estoque","",(_xlfn.IFS(AND(B90="Venda de produtos",H90="Sul/Sudeste"),(VLOOKUP(C90,Tabela1[#All],9,0)*E90),AND(B90="Venda de produtos",H90="Nordeste"),(VLOOKUP(C90,Tabela1[#All],11,0)*E90),AND("Venda de produtos",H90="Norte/Centro-Oeste"),(VLOOKUP(C90,Tabela1[#All],13,0)*E90))))))</f>
        <v/>
      </c>
      <c r="G90" s="16" t="str">
        <f>IF(B90="Compra de estoque",VLOOKUP(C90,Tabela1[#All],4,0)*E90,"")</f>
        <v/>
      </c>
      <c r="H90" s="16"/>
    </row>
    <row r="91" spans="1:8" x14ac:dyDescent="0.25">
      <c r="A91" s="14" t="str">
        <f t="shared" ca="1" si="1"/>
        <v/>
      </c>
      <c r="D91" s="15" t="str">
        <f>IF(C91="","",VLOOKUP(C91,Tabela1[#All],2,0))</f>
        <v/>
      </c>
      <c r="F91" s="16" t="str" cm="1">
        <f t="array" ref="F91">IF(B91="","",(IF(B91="Compra de estoque","",(_xlfn.IFS(AND(B91="Venda de produtos",H91="Sul/Sudeste"),(VLOOKUP(C91,Tabela1[#All],9,0)*E91),AND(B91="Venda de produtos",H91="Nordeste"),(VLOOKUP(C91,Tabela1[#All],11,0)*E91),AND("Venda de produtos",H91="Norte/Centro-Oeste"),(VLOOKUP(C91,Tabela1[#All],13,0)*E91))))))</f>
        <v/>
      </c>
      <c r="G91" s="16" t="str">
        <f>IF(B91="Compra de estoque",VLOOKUP(C91,Tabela1[#All],4,0)*E91,"")</f>
        <v/>
      </c>
      <c r="H91" s="16"/>
    </row>
    <row r="92" spans="1:8" x14ac:dyDescent="0.25">
      <c r="A92" s="14" t="str">
        <f t="shared" ca="1" si="1"/>
        <v/>
      </c>
      <c r="D92" s="15" t="str">
        <f>IF(C92="","",VLOOKUP(C92,Tabela1[#All],2,0))</f>
        <v/>
      </c>
      <c r="F92" s="16" t="str" cm="1">
        <f t="array" ref="F92">IF(B92="","",(IF(B92="Compra de estoque","",(_xlfn.IFS(AND(B92="Venda de produtos",H92="Sul/Sudeste"),(VLOOKUP(C92,Tabela1[#All],9,0)*E92),AND(B92="Venda de produtos",H92="Nordeste"),(VLOOKUP(C92,Tabela1[#All],11,0)*E92),AND("Venda de produtos",H92="Norte/Centro-Oeste"),(VLOOKUP(C92,Tabela1[#All],13,0)*E92))))))</f>
        <v/>
      </c>
      <c r="G92" s="16" t="str">
        <f>IF(B92="Compra de estoque",VLOOKUP(C92,Tabela1[#All],4,0)*E92,"")</f>
        <v/>
      </c>
      <c r="H92" s="16"/>
    </row>
    <row r="93" spans="1:8" x14ac:dyDescent="0.25">
      <c r="A93" s="14" t="str">
        <f t="shared" ca="1" si="1"/>
        <v/>
      </c>
      <c r="D93" s="15" t="str">
        <f>IF(C93="","",VLOOKUP(C93,Tabela1[#All],2,0))</f>
        <v/>
      </c>
      <c r="F93" s="16" t="str" cm="1">
        <f t="array" ref="F93">IF(B93="","",(IF(B93="Compra de estoque","",(_xlfn.IFS(AND(B93="Venda de produtos",H93="Sul/Sudeste"),(VLOOKUP(C93,Tabela1[#All],9,0)*E93),AND(B93="Venda de produtos",H93="Nordeste"),(VLOOKUP(C93,Tabela1[#All],11,0)*E93),AND("Venda de produtos",H93="Norte/Centro-Oeste"),(VLOOKUP(C93,Tabela1[#All],13,0)*E93))))))</f>
        <v/>
      </c>
      <c r="G93" s="16" t="str">
        <f>IF(B93="Compra de estoque",VLOOKUP(C93,Tabela1[#All],4,0)*E93,"")</f>
        <v/>
      </c>
      <c r="H93" s="16"/>
    </row>
    <row r="94" spans="1:8" x14ac:dyDescent="0.25">
      <c r="A94" s="14" t="str">
        <f t="shared" ca="1" si="1"/>
        <v/>
      </c>
      <c r="D94" s="15" t="str">
        <f>IF(C94="","",VLOOKUP(C94,Tabela1[#All],2,0))</f>
        <v/>
      </c>
      <c r="F94" s="16" t="str" cm="1">
        <f t="array" ref="F94">IF(B94="","",(IF(B94="Compra de estoque","",(_xlfn.IFS(AND(B94="Venda de produtos",H94="Sul/Sudeste"),(VLOOKUP(C94,Tabela1[#All],9,0)*E94),AND(B94="Venda de produtos",H94="Nordeste"),(VLOOKUP(C94,Tabela1[#All],11,0)*E94),AND("Venda de produtos",H94="Norte/Centro-Oeste"),(VLOOKUP(C94,Tabela1[#All],13,0)*E94))))))</f>
        <v/>
      </c>
      <c r="G94" s="16" t="str">
        <f>IF(B94="Compra de estoque",VLOOKUP(C94,Tabela1[#All],4,0)*E94,"")</f>
        <v/>
      </c>
      <c r="H94" s="16"/>
    </row>
    <row r="95" spans="1:8" x14ac:dyDescent="0.25">
      <c r="A95" s="14" t="str">
        <f t="shared" ca="1" si="1"/>
        <v/>
      </c>
      <c r="D95" s="15" t="str">
        <f>IF(C95="","",VLOOKUP(C95,Tabela1[#All],2,0))</f>
        <v/>
      </c>
      <c r="F95" s="16" t="str" cm="1">
        <f t="array" ref="F95">IF(B95="","",(IF(B95="Compra de estoque","",(_xlfn.IFS(AND(B95="Venda de produtos",H95="Sul/Sudeste"),(VLOOKUP(C95,Tabela1[#All],9,0)*E95),AND(B95="Venda de produtos",H95="Nordeste"),(VLOOKUP(C95,Tabela1[#All],11,0)*E95),AND("Venda de produtos",H95="Norte/Centro-Oeste"),(VLOOKUP(C95,Tabela1[#All],13,0)*E95))))))</f>
        <v/>
      </c>
      <c r="G95" s="16" t="str">
        <f>IF(B95="Compra de estoque",VLOOKUP(C95,Tabela1[#All],4,0)*E95,"")</f>
        <v/>
      </c>
      <c r="H95" s="16"/>
    </row>
    <row r="96" spans="1:8" x14ac:dyDescent="0.25">
      <c r="A96" s="14" t="str">
        <f t="shared" ca="1" si="1"/>
        <v/>
      </c>
      <c r="D96" s="15" t="str">
        <f>IF(C96="","",VLOOKUP(C96,Tabela1[#All],2,0))</f>
        <v/>
      </c>
      <c r="F96" s="16" t="str" cm="1">
        <f t="array" ref="F96">IF(B96="","",(IF(B96="Compra de estoque","",(_xlfn.IFS(AND(B96="Venda de produtos",H96="Sul/Sudeste"),(VLOOKUP(C96,Tabela1[#All],9,0)*E96),AND(B96="Venda de produtos",H96="Nordeste"),(VLOOKUP(C96,Tabela1[#All],11,0)*E96),AND("Venda de produtos",H96="Norte/Centro-Oeste"),(VLOOKUP(C96,Tabela1[#All],13,0)*E96))))))</f>
        <v/>
      </c>
      <c r="G96" s="16" t="str">
        <f>IF(B96="Compra de estoque",VLOOKUP(C96,Tabela1[#All],4,0)*E96,"")</f>
        <v/>
      </c>
      <c r="H96" s="16"/>
    </row>
    <row r="97" spans="1:8" x14ac:dyDescent="0.25">
      <c r="A97" s="14" t="str">
        <f t="shared" ca="1" si="1"/>
        <v/>
      </c>
      <c r="D97" s="15" t="str">
        <f>IF(C97="","",VLOOKUP(C97,Tabela1[#All],2,0))</f>
        <v/>
      </c>
      <c r="F97" s="16" t="str" cm="1">
        <f t="array" ref="F97">IF(B97="","",(IF(B97="Compra de estoque","",(_xlfn.IFS(AND(B97="Venda de produtos",H97="Sul/Sudeste"),(VLOOKUP(C97,Tabela1[#All],9,0)*E97),AND(B97="Venda de produtos",H97="Nordeste"),(VLOOKUP(C97,Tabela1[#All],11,0)*E97),AND("Venda de produtos",H97="Norte/Centro-Oeste"),(VLOOKUP(C97,Tabela1[#All],13,0)*E97))))))</f>
        <v/>
      </c>
      <c r="G97" s="16" t="str">
        <f>IF(B97="Compra de estoque",VLOOKUP(C97,Tabela1[#All],4,0)*E97,"")</f>
        <v/>
      </c>
      <c r="H97" s="16"/>
    </row>
    <row r="98" spans="1:8" x14ac:dyDescent="0.25">
      <c r="A98" s="14" t="str">
        <f t="shared" ca="1" si="1"/>
        <v/>
      </c>
      <c r="D98" s="15" t="str">
        <f>IF(C98="","",VLOOKUP(C98,Tabela1[#All],2,0))</f>
        <v/>
      </c>
      <c r="F98" s="16" t="str" cm="1">
        <f t="array" ref="F98">IF(B98="","",(IF(B98="Compra de estoque","",(_xlfn.IFS(AND(B98="Venda de produtos",H98="Sul/Sudeste"),(VLOOKUP(C98,Tabela1[#All],9,0)*E98),AND(B98="Venda de produtos",H98="Nordeste"),(VLOOKUP(C98,Tabela1[#All],11,0)*E98),AND("Venda de produtos",H98="Norte/Centro-Oeste"),(VLOOKUP(C98,Tabela1[#All],13,0)*E98))))))</f>
        <v/>
      </c>
      <c r="G98" s="16" t="str">
        <f>IF(B98="Compra de estoque",VLOOKUP(C98,Tabela1[#All],4,0)*E98,"")</f>
        <v/>
      </c>
      <c r="H98" s="16"/>
    </row>
    <row r="99" spans="1:8" x14ac:dyDescent="0.25">
      <c r="A99" s="14" t="str">
        <f t="shared" ca="1" si="1"/>
        <v/>
      </c>
      <c r="D99" s="15" t="str">
        <f>IF(C99="","",VLOOKUP(C99,Tabela1[#All],2,0))</f>
        <v/>
      </c>
      <c r="F99" s="16" t="str" cm="1">
        <f t="array" ref="F99">IF(B99="","",(IF(B99="Compra de estoque","",(_xlfn.IFS(AND(B99="Venda de produtos",H99="Sul/Sudeste"),(VLOOKUP(C99,Tabela1[#All],9,0)*E99),AND(B99="Venda de produtos",H99="Nordeste"),(VLOOKUP(C99,Tabela1[#All],11,0)*E99),AND("Venda de produtos",H99="Norte/Centro-Oeste"),(VLOOKUP(C99,Tabela1[#All],13,0)*E99))))))</f>
        <v/>
      </c>
      <c r="G99" s="16" t="str">
        <f>IF(B99="Compra de estoque",VLOOKUP(C99,Tabela1[#All],4,0)*E99,"")</f>
        <v/>
      </c>
      <c r="H99" s="16"/>
    </row>
    <row r="100" spans="1:8" x14ac:dyDescent="0.25">
      <c r="A100" s="14" t="str">
        <f t="shared" ca="1" si="1"/>
        <v/>
      </c>
      <c r="D100" s="15" t="str">
        <f>IF(C100="","",VLOOKUP(C100,Tabela1[#All],2,0))</f>
        <v/>
      </c>
      <c r="F100" s="16" t="str" cm="1">
        <f t="array" ref="F100">IF(B100="","",(IF(B100="Compra de estoque","",(_xlfn.IFS(AND(B100="Venda de produtos",H100="Sul/Sudeste"),(VLOOKUP(C100,Tabela1[#All],9,0)*E100),AND(B100="Venda de produtos",H100="Nordeste"),(VLOOKUP(C100,Tabela1[#All],11,0)*E100),AND("Venda de produtos",H100="Norte/Centro-Oeste"),(VLOOKUP(C100,Tabela1[#All],13,0)*E100))))))</f>
        <v/>
      </c>
      <c r="G100" s="16" t="str">
        <f>IF(B100="Compra de estoque",VLOOKUP(C100,Tabela1[#All],4,0)*E100,"")</f>
        <v/>
      </c>
      <c r="H100" s="16"/>
    </row>
    <row r="101" spans="1:8" x14ac:dyDescent="0.25">
      <c r="A101" s="14" t="str">
        <f t="shared" ca="1" si="1"/>
        <v/>
      </c>
      <c r="D101" s="15" t="str">
        <f>IF(C101="","",VLOOKUP(C101,Tabela1[#All],2,0))</f>
        <v/>
      </c>
      <c r="F101" s="16" t="str" cm="1">
        <f t="array" ref="F101">IF(B101="","",(IF(B101="Compra de estoque","",(_xlfn.IFS(AND(B101="Venda de produtos",H101="Sul/Sudeste"),(VLOOKUP(C101,Tabela1[#All],9,0)*E101),AND(B101="Venda de produtos",H101="Nordeste"),(VLOOKUP(C101,Tabela1[#All],11,0)*E101),AND("Venda de produtos",H101="Norte/Centro-Oeste"),(VLOOKUP(C101,Tabela1[#All],13,0)*E101))))))</f>
        <v/>
      </c>
      <c r="G101" s="16" t="str">
        <f>IF(B101="Compra de estoque",VLOOKUP(C101,Tabela1[#All],4,0)*E101,"")</f>
        <v/>
      </c>
      <c r="H101" s="16"/>
    </row>
    <row r="102" spans="1:8" x14ac:dyDescent="0.25">
      <c r="A102" s="14" t="str">
        <f t="shared" ca="1" si="1"/>
        <v/>
      </c>
      <c r="D102" s="15" t="str">
        <f>IF(C102="","",VLOOKUP(C102,Tabela1[#All],2,0))</f>
        <v/>
      </c>
      <c r="F102" s="16" t="str" cm="1">
        <f t="array" ref="F102">IF(B102="","",(IF(B102="Compra de estoque","",(_xlfn.IFS(AND(B102="Venda de produtos",H102="Sul/Sudeste"),(VLOOKUP(C102,Tabela1[#All],9,0)*E102),AND(B102="Venda de produtos",H102="Nordeste"),(VLOOKUP(C102,Tabela1[#All],11,0)*E102),AND("Venda de produtos",H102="Norte/Centro-Oeste"),(VLOOKUP(C102,Tabela1[#All],13,0)*E102))))))</f>
        <v/>
      </c>
      <c r="G102" s="16" t="str">
        <f>IF(B102="Compra de estoque",VLOOKUP(C102,Tabela1[#All],4,0)*E102,"")</f>
        <v/>
      </c>
      <c r="H102" s="16"/>
    </row>
    <row r="103" spans="1:8" x14ac:dyDescent="0.25">
      <c r="A103" s="14" t="str">
        <f t="shared" ca="1" si="1"/>
        <v/>
      </c>
      <c r="D103" s="15" t="str">
        <f>IF(C103="","",VLOOKUP(C103,Tabela1[#All],2,0))</f>
        <v/>
      </c>
      <c r="F103" s="16" t="str" cm="1">
        <f t="array" ref="F103">IF(B103="","",(IF(B103="Compra de estoque","",(_xlfn.IFS(AND(B103="Venda de produtos",H103="Sul/Sudeste"),(VLOOKUP(C103,Tabela1[#All],9,0)*E103),AND(B103="Venda de produtos",H103="Nordeste"),(VLOOKUP(C103,Tabela1[#All],11,0)*E103),AND("Venda de produtos",H103="Norte/Centro-Oeste"),(VLOOKUP(C103,Tabela1[#All],13,0)*E103))))))</f>
        <v/>
      </c>
      <c r="G103" s="16" t="str">
        <f>IF(B103="Compra de estoque",VLOOKUP(C103,Tabela1[#All],4,0)*E103,"")</f>
        <v/>
      </c>
      <c r="H103" s="16"/>
    </row>
    <row r="104" spans="1:8" x14ac:dyDescent="0.25">
      <c r="A104" s="14" t="str">
        <f t="shared" ca="1" si="1"/>
        <v/>
      </c>
      <c r="D104" s="15" t="str">
        <f>IF(C104="","",VLOOKUP(C104,Tabela1[#All],2,0))</f>
        <v/>
      </c>
      <c r="F104" s="16" t="str" cm="1">
        <f t="array" ref="F104">IF(B104="","",(IF(B104="Compra de estoque","",(_xlfn.IFS(AND(B104="Venda de produtos",H104="Sul/Sudeste"),(VLOOKUP(C104,Tabela1[#All],9,0)*E104),AND(B104="Venda de produtos",H104="Nordeste"),(VLOOKUP(C104,Tabela1[#All],11,0)*E104),AND("Venda de produtos",H104="Norte/Centro-Oeste"),(VLOOKUP(C104,Tabela1[#All],13,0)*E104))))))</f>
        <v/>
      </c>
      <c r="G104" s="16" t="str">
        <f>IF(B104="Compra de estoque",VLOOKUP(C104,Tabela1[#All],4,0)*E104,"")</f>
        <v/>
      </c>
      <c r="H104" s="16"/>
    </row>
    <row r="105" spans="1:8" x14ac:dyDescent="0.25">
      <c r="A105" s="14" t="str">
        <f t="shared" ca="1" si="1"/>
        <v/>
      </c>
      <c r="D105" s="15" t="str">
        <f>IF(C105="","",VLOOKUP(C105,Tabela1[#All],2,0))</f>
        <v/>
      </c>
      <c r="F105" s="16" t="str" cm="1">
        <f t="array" ref="F105">IF(B105="","",(IF(B105="Compra de estoque","",(_xlfn.IFS(AND(B105="Venda de produtos",H105="Sul/Sudeste"),(VLOOKUP(C105,Tabela1[#All],9,0)*E105),AND(B105="Venda de produtos",H105="Nordeste"),(VLOOKUP(C105,Tabela1[#All],11,0)*E105),AND("Venda de produtos",H105="Norte/Centro-Oeste"),(VLOOKUP(C105,Tabela1[#All],13,0)*E105))))))</f>
        <v/>
      </c>
      <c r="G105" s="16" t="str">
        <f>IF(B105="Compra de estoque",VLOOKUP(C105,Tabela1[#All],4,0)*E105,"")</f>
        <v/>
      </c>
      <c r="H105" s="16"/>
    </row>
    <row r="106" spans="1:8" x14ac:dyDescent="0.25">
      <c r="A106" s="14" t="str">
        <f t="shared" ca="1" si="1"/>
        <v/>
      </c>
      <c r="D106" s="15" t="str">
        <f>IF(C106="","",VLOOKUP(C106,Tabela1[#All],2,0))</f>
        <v/>
      </c>
      <c r="F106" s="16" t="str" cm="1">
        <f t="array" ref="F106">IF(B106="","",(IF(B106="Compra de estoque","",(_xlfn.IFS(AND(B106="Venda de produtos",H106="Sul/Sudeste"),(VLOOKUP(C106,Tabela1[#All],9,0)*E106),AND(B106="Venda de produtos",H106="Nordeste"),(VLOOKUP(C106,Tabela1[#All],11,0)*E106),AND("Venda de produtos",H106="Norte/Centro-Oeste"),(VLOOKUP(C106,Tabela1[#All],13,0)*E106))))))</f>
        <v/>
      </c>
      <c r="G106" s="16" t="str">
        <f>IF(B106="Compra de estoque",VLOOKUP(C106,Tabela1[#All],4,0)*E106,"")</f>
        <v/>
      </c>
      <c r="H106" s="16"/>
    </row>
    <row r="107" spans="1:8" x14ac:dyDescent="0.25">
      <c r="A107" s="14" t="str">
        <f t="shared" ca="1" si="1"/>
        <v/>
      </c>
      <c r="D107" s="15" t="str">
        <f>IF(C107="","",VLOOKUP(C107,Tabela1[#All],2,0))</f>
        <v/>
      </c>
      <c r="F107" s="16" t="str" cm="1">
        <f t="array" ref="F107">IF(B107="","",(IF(B107="Compra de estoque","",(_xlfn.IFS(AND(B107="Venda de produtos",H107="Sul/Sudeste"),(VLOOKUP(C107,Tabela1[#All],9,0)*E107),AND(B107="Venda de produtos",H107="Nordeste"),(VLOOKUP(C107,Tabela1[#All],11,0)*E107),AND("Venda de produtos",H107="Norte/Centro-Oeste"),(VLOOKUP(C107,Tabela1[#All],13,0)*E107))))))</f>
        <v/>
      </c>
      <c r="G107" s="16" t="str">
        <f>IF(B107="Compra de estoque",VLOOKUP(C107,Tabela1[#All],4,0)*E107,"")</f>
        <v/>
      </c>
      <c r="H107" s="16"/>
    </row>
    <row r="108" spans="1:8" x14ac:dyDescent="0.25">
      <c r="A108" s="14" t="str">
        <f t="shared" ca="1" si="1"/>
        <v/>
      </c>
      <c r="D108" s="15" t="str">
        <f>IF(C108="","",VLOOKUP(C108,Tabela1[#All],2,0))</f>
        <v/>
      </c>
      <c r="F108" s="16" t="str" cm="1">
        <f t="array" ref="F108">IF(B108="","",(IF(B108="Compra de estoque","",(_xlfn.IFS(AND(B108="Venda de produtos",H108="Sul/Sudeste"),(VLOOKUP(C108,Tabela1[#All],9,0)*E108),AND(B108="Venda de produtos",H108="Nordeste"),(VLOOKUP(C108,Tabela1[#All],11,0)*E108),AND("Venda de produtos",H108="Norte/Centro-Oeste"),(VLOOKUP(C108,Tabela1[#All],13,0)*E108))))))</f>
        <v/>
      </c>
      <c r="G108" s="16" t="str">
        <f>IF(B108="Compra de estoque",VLOOKUP(C108,Tabela1[#All],4,0)*E108,"")</f>
        <v/>
      </c>
      <c r="H108" s="16"/>
    </row>
    <row r="109" spans="1:8" x14ac:dyDescent="0.25">
      <c r="A109" s="14" t="str">
        <f t="shared" ca="1" si="1"/>
        <v/>
      </c>
      <c r="D109" s="15" t="str">
        <f>IF(C109="","",VLOOKUP(C109,Tabela1[#All],2,0))</f>
        <v/>
      </c>
      <c r="F109" s="16" t="str" cm="1">
        <f t="array" ref="F109">IF(B109="","",(IF(B109="Compra de estoque","",(_xlfn.IFS(AND(B109="Venda de produtos",H109="Sul/Sudeste"),(VLOOKUP(C109,Tabela1[#All],9,0)*E109),AND(B109="Venda de produtos",H109="Nordeste"),(VLOOKUP(C109,Tabela1[#All],11,0)*E109),AND("Venda de produtos",H109="Norte/Centro-Oeste"),(VLOOKUP(C109,Tabela1[#All],13,0)*E109))))))</f>
        <v/>
      </c>
      <c r="G109" s="16" t="str">
        <f>IF(B109="Compra de estoque",VLOOKUP(C109,Tabela1[#All],4,0)*E109,"")</f>
        <v/>
      </c>
      <c r="H109" s="16"/>
    </row>
    <row r="110" spans="1:8" x14ac:dyDescent="0.25">
      <c r="A110" s="14" t="str">
        <f t="shared" ca="1" si="1"/>
        <v/>
      </c>
      <c r="D110" s="15" t="str">
        <f>IF(C110="","",VLOOKUP(C110,Tabela1[#All],2,0))</f>
        <v/>
      </c>
      <c r="F110" s="16" t="str" cm="1">
        <f t="array" ref="F110">IF(B110="","",(IF(B110="Compra de estoque","",(_xlfn.IFS(AND(B110="Venda de produtos",H110="Sul/Sudeste"),(VLOOKUP(C110,Tabela1[#All],9,0)*E110),AND(B110="Venda de produtos",H110="Nordeste"),(VLOOKUP(C110,Tabela1[#All],11,0)*E110),AND("Venda de produtos",H110="Norte/Centro-Oeste"),(VLOOKUP(C110,Tabela1[#All],13,0)*E110))))))</f>
        <v/>
      </c>
      <c r="G110" s="16" t="str">
        <f>IF(B110="Compra de estoque",VLOOKUP(C110,Tabela1[#All],4,0)*E110,"")</f>
        <v/>
      </c>
      <c r="H110" s="16"/>
    </row>
    <row r="111" spans="1:8" x14ac:dyDescent="0.25">
      <c r="A111" s="14" t="str">
        <f t="shared" ca="1" si="1"/>
        <v/>
      </c>
      <c r="D111" s="15" t="str">
        <f>IF(C111="","",VLOOKUP(C111,Tabela1[#All],2,0))</f>
        <v/>
      </c>
      <c r="F111" s="16" t="str" cm="1">
        <f t="array" ref="F111">IF(B111="","",(IF(B111="Compra de estoque","",(_xlfn.IFS(AND(B111="Venda de produtos",H111="Sul/Sudeste"),(VLOOKUP(C111,Tabela1[#All],9,0)*E111),AND(B111="Venda de produtos",H111="Nordeste"),(VLOOKUP(C111,Tabela1[#All],11,0)*E111),AND("Venda de produtos",H111="Norte/Centro-Oeste"),(VLOOKUP(C111,Tabela1[#All],13,0)*E111))))))</f>
        <v/>
      </c>
      <c r="G111" s="16" t="str">
        <f>IF(B111="Compra de estoque",VLOOKUP(C111,Tabela1[#All],4,0)*E111,"")</f>
        <v/>
      </c>
      <c r="H111" s="16"/>
    </row>
    <row r="112" spans="1:8" x14ac:dyDescent="0.25">
      <c r="A112" s="14" t="str">
        <f t="shared" ca="1" si="1"/>
        <v/>
      </c>
      <c r="D112" s="15" t="str">
        <f>IF(C112="","",VLOOKUP(C112,Tabela1[#All],2,0))</f>
        <v/>
      </c>
      <c r="F112" s="16" t="str" cm="1">
        <f t="array" ref="F112">IF(B112="","",(IF(B112="Compra de estoque","",(_xlfn.IFS(AND(B112="Venda de produtos",H112="Sul/Sudeste"),(VLOOKUP(C112,Tabela1[#All],9,0)*E112),AND(B112="Venda de produtos",H112="Nordeste"),(VLOOKUP(C112,Tabela1[#All],11,0)*E112),AND("Venda de produtos",H112="Norte/Centro-Oeste"),(VLOOKUP(C112,Tabela1[#All],13,0)*E112))))))</f>
        <v/>
      </c>
      <c r="G112" s="16" t="str">
        <f>IF(B112="Compra de estoque",VLOOKUP(C112,Tabela1[#All],4,0)*E112,"")</f>
        <v/>
      </c>
      <c r="H112" s="16"/>
    </row>
    <row r="113" spans="1:8" x14ac:dyDescent="0.25">
      <c r="A113" s="14" t="str">
        <f t="shared" ca="1" si="1"/>
        <v/>
      </c>
      <c r="D113" s="15" t="str">
        <f>IF(C113="","",VLOOKUP(C113,Tabela1[#All],2,0))</f>
        <v/>
      </c>
      <c r="F113" s="16" t="str" cm="1">
        <f t="array" ref="F113">IF(B113="","",(IF(B113="Compra de estoque","",(_xlfn.IFS(AND(B113="Venda de produtos",H113="Sul/Sudeste"),(VLOOKUP(C113,Tabela1[#All],9,0)*E113),AND(B113="Venda de produtos",H113="Nordeste"),(VLOOKUP(C113,Tabela1[#All],11,0)*E113),AND("Venda de produtos",H113="Norte/Centro-Oeste"),(VLOOKUP(C113,Tabela1[#All],13,0)*E113))))))</f>
        <v/>
      </c>
      <c r="G113" s="16" t="str">
        <f>IF(B113="Compra de estoque",VLOOKUP(C113,Tabela1[#All],4,0)*E113,"")</f>
        <v/>
      </c>
      <c r="H113" s="16"/>
    </row>
    <row r="114" spans="1:8" x14ac:dyDescent="0.25">
      <c r="A114" s="14" t="str">
        <f t="shared" ca="1" si="1"/>
        <v/>
      </c>
      <c r="D114" s="15" t="str">
        <f>IF(C114="","",VLOOKUP(C114,Tabela1[#All],2,0))</f>
        <v/>
      </c>
      <c r="F114" s="16" t="str" cm="1">
        <f t="array" ref="F114">IF(B114="","",(IF(B114="Compra de estoque","",(_xlfn.IFS(AND(B114="Venda de produtos",H114="Sul/Sudeste"),(VLOOKUP(C114,Tabela1[#All],9,0)*E114),AND(B114="Venda de produtos",H114="Nordeste"),(VLOOKUP(C114,Tabela1[#All],11,0)*E114),AND("Venda de produtos",H114="Norte/Centro-Oeste"),(VLOOKUP(C114,Tabela1[#All],13,0)*E114))))))</f>
        <v/>
      </c>
      <c r="G114" s="16" t="str">
        <f>IF(B114="Compra de estoque",VLOOKUP(C114,Tabela1[#All],4,0)*E114,"")</f>
        <v/>
      </c>
      <c r="H114" s="16"/>
    </row>
    <row r="115" spans="1:8" x14ac:dyDescent="0.25">
      <c r="A115" s="14" t="str">
        <f t="shared" ca="1" si="1"/>
        <v/>
      </c>
      <c r="D115" s="15" t="str">
        <f>IF(C115="","",VLOOKUP(C115,Tabela1[#All],2,0))</f>
        <v/>
      </c>
      <c r="F115" s="16" t="str" cm="1">
        <f t="array" ref="F115">IF(B115="","",(IF(B115="Compra de estoque","",(_xlfn.IFS(AND(B115="Venda de produtos",H115="Sul/Sudeste"),(VLOOKUP(C115,Tabela1[#All],9,0)*E115),AND(B115="Venda de produtos",H115="Nordeste"),(VLOOKUP(C115,Tabela1[#All],11,0)*E115),AND("Venda de produtos",H115="Norte/Centro-Oeste"),(VLOOKUP(C115,Tabela1[#All],13,0)*E115))))))</f>
        <v/>
      </c>
      <c r="G115" s="16" t="str">
        <f>IF(B115="Compra de estoque",VLOOKUP(C115,Tabela1[#All],4,0)*E115,"")</f>
        <v/>
      </c>
      <c r="H115" s="16"/>
    </row>
    <row r="116" spans="1:8" x14ac:dyDescent="0.25">
      <c r="A116" s="14" t="str">
        <f t="shared" ca="1" si="1"/>
        <v/>
      </c>
      <c r="D116" s="15" t="str">
        <f>IF(C116="","",VLOOKUP(C116,Tabela1[#All],2,0))</f>
        <v/>
      </c>
      <c r="F116" s="16" t="str" cm="1">
        <f t="array" ref="F116">IF(B116="","",(IF(B116="Compra de estoque","",(_xlfn.IFS(AND(B116="Venda de produtos",H116="Sul/Sudeste"),(VLOOKUP(C116,Tabela1[#All],9,0)*E116),AND(B116="Venda de produtos",H116="Nordeste"),(VLOOKUP(C116,Tabela1[#All],11,0)*E116),AND("Venda de produtos",H116="Norte/Centro-Oeste"),(VLOOKUP(C116,Tabela1[#All],13,0)*E116))))))</f>
        <v/>
      </c>
      <c r="G116" s="16" t="str">
        <f>IF(B116="Compra de estoque",VLOOKUP(C116,Tabela1[#All],4,0)*E116,"")</f>
        <v/>
      </c>
      <c r="H116" s="16"/>
    </row>
    <row r="117" spans="1:8" x14ac:dyDescent="0.25">
      <c r="A117" s="14" t="str">
        <f t="shared" ca="1" si="1"/>
        <v/>
      </c>
      <c r="D117" s="15" t="str">
        <f>IF(C117="","",VLOOKUP(C117,Tabela1[#All],2,0))</f>
        <v/>
      </c>
      <c r="F117" s="16" t="str" cm="1">
        <f t="array" ref="F117">IF(B117="","",(IF(B117="Compra de estoque","",(_xlfn.IFS(AND(B117="Venda de produtos",H117="Sul/Sudeste"),(VLOOKUP(C117,Tabela1[#All],9,0)*E117),AND(B117="Venda de produtos",H117="Nordeste"),(VLOOKUP(C117,Tabela1[#All],11,0)*E117),AND("Venda de produtos",H117="Norte/Centro-Oeste"),(VLOOKUP(C117,Tabela1[#All],13,0)*E117))))))</f>
        <v/>
      </c>
      <c r="G117" s="16" t="str">
        <f>IF(B117="Compra de estoque",VLOOKUP(C117,Tabela1[#All],4,0)*E117,"")</f>
        <v/>
      </c>
      <c r="H117" s="16"/>
    </row>
    <row r="118" spans="1:8" x14ac:dyDescent="0.25">
      <c r="A118" s="14" t="str">
        <f t="shared" ca="1" si="1"/>
        <v/>
      </c>
      <c r="D118" s="15" t="str">
        <f>IF(C118="","",VLOOKUP(C118,Tabela1[#All],2,0))</f>
        <v/>
      </c>
      <c r="F118" s="16" t="str" cm="1">
        <f t="array" ref="F118">IF(B118="","",(IF(B118="Compra de estoque","",(_xlfn.IFS(AND(B118="Venda de produtos",H118="Sul/Sudeste"),(VLOOKUP(C118,Tabela1[#All],9,0)*E118),AND(B118="Venda de produtos",H118="Nordeste"),(VLOOKUP(C118,Tabela1[#All],11,0)*E118),AND("Venda de produtos",H118="Norte/Centro-Oeste"),(VLOOKUP(C118,Tabela1[#All],13,0)*E118))))))</f>
        <v/>
      </c>
      <c r="G118" s="16" t="str">
        <f>IF(B118="Compra de estoque",VLOOKUP(C118,Tabela1[#All],4,0)*E118,"")</f>
        <v/>
      </c>
      <c r="H118" s="16"/>
    </row>
    <row r="119" spans="1:8" x14ac:dyDescent="0.25">
      <c r="A119" s="14" t="str">
        <f t="shared" ca="1" si="1"/>
        <v/>
      </c>
      <c r="D119" s="15" t="str">
        <f>IF(C119="","",VLOOKUP(C119,Tabela1[#All],2,0))</f>
        <v/>
      </c>
      <c r="F119" s="16" t="str" cm="1">
        <f t="array" ref="F119">IF(B119="","",(IF(B119="Compra de estoque","",(_xlfn.IFS(AND(B119="Venda de produtos",H119="Sul/Sudeste"),(VLOOKUP(C119,Tabela1[#All],9,0)*E119),AND(B119="Venda de produtos",H119="Nordeste"),(VLOOKUP(C119,Tabela1[#All],11,0)*E119),AND("Venda de produtos",H119="Norte/Centro-Oeste"),(VLOOKUP(C119,Tabela1[#All],13,0)*E119))))))</f>
        <v/>
      </c>
      <c r="G119" s="16" t="str">
        <f>IF(B119="Compra de estoque",VLOOKUP(C119,Tabela1[#All],4,0)*E119,"")</f>
        <v/>
      </c>
      <c r="H119" s="16"/>
    </row>
    <row r="120" spans="1:8" x14ac:dyDescent="0.25">
      <c r="A120" s="14" t="str">
        <f t="shared" ca="1" si="1"/>
        <v/>
      </c>
      <c r="D120" s="15" t="str">
        <f>IF(C120="","",VLOOKUP(C120,Tabela1[#All],2,0))</f>
        <v/>
      </c>
      <c r="F120" s="16" t="str" cm="1">
        <f t="array" ref="F120">IF(B120="","",(IF(B120="Compra de estoque","",(_xlfn.IFS(AND(B120="Venda de produtos",H120="Sul/Sudeste"),(VLOOKUP(C120,Tabela1[#All],9,0)*E120),AND(B120="Venda de produtos",H120="Nordeste"),(VLOOKUP(C120,Tabela1[#All],11,0)*E120),AND("Venda de produtos",H120="Norte/Centro-Oeste"),(VLOOKUP(C120,Tabela1[#All],13,0)*E120))))))</f>
        <v/>
      </c>
      <c r="G120" s="16" t="str">
        <f>IF(B120="Compra de estoque",VLOOKUP(C120,Tabela1[#All],4,0)*E120,"")</f>
        <v/>
      </c>
      <c r="H120" s="16"/>
    </row>
    <row r="121" spans="1:8" x14ac:dyDescent="0.25">
      <c r="A121" s="14" t="str">
        <f t="shared" ca="1" si="1"/>
        <v/>
      </c>
      <c r="D121" s="15" t="str">
        <f>IF(C121="","",VLOOKUP(C121,Tabela1[#All],2,0))</f>
        <v/>
      </c>
      <c r="F121" s="16" t="str" cm="1">
        <f t="array" ref="F121">IF(B121="","",(IF(B121="Compra de estoque","",(_xlfn.IFS(AND(B121="Venda de produtos",H121="Sul/Sudeste"),(VLOOKUP(C121,Tabela1[#All],9,0)*E121),AND(B121="Venda de produtos",H121="Nordeste"),(VLOOKUP(C121,Tabela1[#All],11,0)*E121),AND("Venda de produtos",H121="Norte/Centro-Oeste"),(VLOOKUP(C121,Tabela1[#All],13,0)*E121))))))</f>
        <v/>
      </c>
      <c r="G121" s="16" t="str">
        <f>IF(B121="Compra de estoque",VLOOKUP(C121,Tabela1[#All],4,0)*E121,"")</f>
        <v/>
      </c>
      <c r="H121" s="16"/>
    </row>
    <row r="122" spans="1:8" x14ac:dyDescent="0.25">
      <c r="A122" s="14" t="str">
        <f t="shared" ca="1" si="1"/>
        <v/>
      </c>
      <c r="D122" s="15" t="str">
        <f>IF(C122="","",VLOOKUP(C122,Tabela1[#All],2,0))</f>
        <v/>
      </c>
      <c r="F122" s="16" t="str" cm="1">
        <f t="array" ref="F122">IF(B122="","",(IF(B122="Compra de estoque","",(_xlfn.IFS(AND(B122="Venda de produtos",H122="Sul/Sudeste"),(VLOOKUP(C122,Tabela1[#All],9,0)*E122),AND(B122="Venda de produtos",H122="Nordeste"),(VLOOKUP(C122,Tabela1[#All],11,0)*E122),AND("Venda de produtos",H122="Norte/Centro-Oeste"),(VLOOKUP(C122,Tabela1[#All],13,0)*E122))))))</f>
        <v/>
      </c>
      <c r="G122" s="16" t="str">
        <f>IF(B122="Compra de estoque",VLOOKUP(C122,Tabela1[#All],4,0)*E122,"")</f>
        <v/>
      </c>
      <c r="H122" s="16"/>
    </row>
    <row r="123" spans="1:8" x14ac:dyDescent="0.25">
      <c r="A123" s="14" t="str">
        <f t="shared" ca="1" si="1"/>
        <v/>
      </c>
      <c r="D123" s="15" t="str">
        <f>IF(C123="","",VLOOKUP(C123,Tabela1[#All],2,0))</f>
        <v/>
      </c>
      <c r="F123" s="16" t="str" cm="1">
        <f t="array" ref="F123">IF(B123="","",(IF(B123="Compra de estoque","",(_xlfn.IFS(AND(B123="Venda de produtos",H123="Sul/Sudeste"),(VLOOKUP(C123,Tabela1[#All],9,0)*E123),AND(B123="Venda de produtos",H123="Nordeste"),(VLOOKUP(C123,Tabela1[#All],11,0)*E123),AND("Venda de produtos",H123="Norte/Centro-Oeste"),(VLOOKUP(C123,Tabela1[#All],13,0)*E123))))))</f>
        <v/>
      </c>
      <c r="G123" s="16" t="str">
        <f>IF(B123="Compra de estoque",VLOOKUP(C123,Tabela1[#All],4,0)*E123,"")</f>
        <v/>
      </c>
      <c r="H123" s="16"/>
    </row>
    <row r="124" spans="1:8" x14ac:dyDescent="0.25">
      <c r="A124" s="14" t="str">
        <f t="shared" ca="1" si="1"/>
        <v/>
      </c>
      <c r="D124" s="15" t="str">
        <f>IF(C124="","",VLOOKUP(C124,Tabela1[#All],2,0))</f>
        <v/>
      </c>
      <c r="F124" s="16" t="str" cm="1">
        <f t="array" ref="F124">IF(B124="","",(IF(B124="Compra de estoque","",(_xlfn.IFS(AND(B124="Venda de produtos",H124="Sul/Sudeste"),(VLOOKUP(C124,Tabela1[#All],9,0)*E124),AND(B124="Venda de produtos",H124="Nordeste"),(VLOOKUP(C124,Tabela1[#All],11,0)*E124),AND("Venda de produtos",H124="Norte/Centro-Oeste"),(VLOOKUP(C124,Tabela1[#All],13,0)*E124))))))</f>
        <v/>
      </c>
      <c r="G124" s="16" t="str">
        <f>IF(B124="Compra de estoque",VLOOKUP(C124,Tabela1[#All],4,0)*E124,"")</f>
        <v/>
      </c>
      <c r="H124" s="16"/>
    </row>
    <row r="125" spans="1:8" x14ac:dyDescent="0.25">
      <c r="A125" s="14" t="str">
        <f t="shared" ca="1" si="1"/>
        <v/>
      </c>
      <c r="D125" s="15" t="str">
        <f>IF(C125="","",VLOOKUP(C125,Tabela1[#All],2,0))</f>
        <v/>
      </c>
      <c r="F125" s="16" t="str" cm="1">
        <f t="array" ref="F125">IF(B125="","",(IF(B125="Compra de estoque","",(_xlfn.IFS(AND(B125="Venda de produtos",H125="Sul/Sudeste"),(VLOOKUP(C125,Tabela1[#All],9,0)*E125),AND(B125="Venda de produtos",H125="Nordeste"),(VLOOKUP(C125,Tabela1[#All],11,0)*E125),AND("Venda de produtos",H125="Norte/Centro-Oeste"),(VLOOKUP(C125,Tabela1[#All],13,0)*E125))))))</f>
        <v/>
      </c>
      <c r="G125" s="16" t="str">
        <f>IF(B125="Compra de estoque",VLOOKUP(C125,Tabela1[#All],4,0)*E125,"")</f>
        <v/>
      </c>
      <c r="H125" s="16"/>
    </row>
    <row r="126" spans="1:8" x14ac:dyDescent="0.25">
      <c r="A126" s="14" t="str">
        <f t="shared" ca="1" si="1"/>
        <v/>
      </c>
      <c r="D126" s="15" t="str">
        <f>IF(C126="","",VLOOKUP(C126,Tabela1[#All],2,0))</f>
        <v/>
      </c>
      <c r="F126" s="16" t="str" cm="1">
        <f t="array" ref="F126">IF(B126="","",(IF(B126="Compra de estoque","",(_xlfn.IFS(AND(B126="Venda de produtos",H126="Sul/Sudeste"),(VLOOKUP(C126,Tabela1[#All],9,0)*E126),AND(B126="Venda de produtos",H126="Nordeste"),(VLOOKUP(C126,Tabela1[#All],11,0)*E126),AND("Venda de produtos",H126="Norte/Centro-Oeste"),(VLOOKUP(C126,Tabela1[#All],13,0)*E126))))))</f>
        <v/>
      </c>
      <c r="G126" s="16" t="str">
        <f>IF(B126="Compra de estoque",VLOOKUP(C126,Tabela1[#All],4,0)*E126,"")</f>
        <v/>
      </c>
      <c r="H126" s="16"/>
    </row>
    <row r="127" spans="1:8" x14ac:dyDescent="0.25">
      <c r="A127" s="14" t="str">
        <f t="shared" ca="1" si="1"/>
        <v/>
      </c>
      <c r="D127" s="15" t="str">
        <f>IF(C127="","",VLOOKUP(C127,Tabela1[#All],2,0))</f>
        <v/>
      </c>
      <c r="F127" s="16" t="str" cm="1">
        <f t="array" ref="F127">IF(B127="","",(IF(B127="Compra de estoque","",(_xlfn.IFS(AND(B127="Venda de produtos",H127="Sul/Sudeste"),(VLOOKUP(C127,Tabela1[#All],9,0)*E127),AND(B127="Venda de produtos",H127="Nordeste"),(VLOOKUP(C127,Tabela1[#All],11,0)*E127),AND("Venda de produtos",H127="Norte/Centro-Oeste"),(VLOOKUP(C127,Tabela1[#All],13,0)*E127))))))</f>
        <v/>
      </c>
      <c r="G127" s="16" t="str">
        <f>IF(B127="Compra de estoque",VLOOKUP(C127,Tabela1[#All],4,0)*E127,"")</f>
        <v/>
      </c>
      <c r="H127" s="16"/>
    </row>
    <row r="128" spans="1:8" x14ac:dyDescent="0.25">
      <c r="A128" s="14" t="str">
        <f t="shared" ca="1" si="1"/>
        <v/>
      </c>
      <c r="D128" s="15" t="str">
        <f>IF(C128="","",VLOOKUP(C128,Tabela1[#All],2,0))</f>
        <v/>
      </c>
      <c r="F128" s="16" t="str" cm="1">
        <f t="array" ref="F128">IF(B128="","",(IF(B128="Compra de estoque","",(_xlfn.IFS(AND(B128="Venda de produtos",H128="Sul/Sudeste"),(VLOOKUP(C128,Tabela1[#All],9,0)*E128),AND(B128="Venda de produtos",H128="Nordeste"),(VLOOKUP(C128,Tabela1[#All],11,0)*E128),AND("Venda de produtos",H128="Norte/Centro-Oeste"),(VLOOKUP(C128,Tabela1[#All],13,0)*E128))))))</f>
        <v/>
      </c>
      <c r="G128" s="16" t="str">
        <f>IF(B128="Compra de estoque",VLOOKUP(C128,Tabela1[#All],4,0)*E128,"")</f>
        <v/>
      </c>
      <c r="H128" s="16"/>
    </row>
    <row r="129" spans="1:8" x14ac:dyDescent="0.25">
      <c r="A129" s="14" t="str">
        <f t="shared" ca="1" si="1"/>
        <v/>
      </c>
      <c r="D129" s="15" t="str">
        <f>IF(C129="","",VLOOKUP(C129,Tabela1[#All],2,0))</f>
        <v/>
      </c>
      <c r="F129" s="16" t="str" cm="1">
        <f t="array" ref="F129">IF(B129="","",(IF(B129="Compra de estoque","",(_xlfn.IFS(AND(B129="Venda de produtos",H129="Sul/Sudeste"),(VLOOKUP(C129,Tabela1[#All],9,0)*E129),AND(B129="Venda de produtos",H129="Nordeste"),(VLOOKUP(C129,Tabela1[#All],11,0)*E129),AND("Venda de produtos",H129="Norte/Centro-Oeste"),(VLOOKUP(C129,Tabela1[#All],13,0)*E129))))))</f>
        <v/>
      </c>
      <c r="G129" s="16" t="str">
        <f>IF(B129="Compra de estoque",VLOOKUP(C129,Tabela1[#All],4,0)*E129,"")</f>
        <v/>
      </c>
      <c r="H129" s="16"/>
    </row>
    <row r="130" spans="1:8" x14ac:dyDescent="0.25">
      <c r="A130" s="14" t="str">
        <f t="shared" ca="1" si="1"/>
        <v/>
      </c>
      <c r="D130" s="15" t="str">
        <f>IF(C130="","",VLOOKUP(C130,Tabela1[#All],2,0))</f>
        <v/>
      </c>
      <c r="F130" s="16" t="str" cm="1">
        <f t="array" ref="F130">IF(B130="","",(IF(B130="Compra de estoque","",(_xlfn.IFS(AND(B130="Venda de produtos",H130="Sul/Sudeste"),(VLOOKUP(C130,Tabela1[#All],9,0)*E130),AND(B130="Venda de produtos",H130="Nordeste"),(VLOOKUP(C130,Tabela1[#All],11,0)*E130),AND("Venda de produtos",H130="Norte/Centro-Oeste"),(VLOOKUP(C130,Tabela1[#All],13,0)*E130))))))</f>
        <v/>
      </c>
      <c r="G130" s="16" t="str">
        <f>IF(B130="Compra de estoque",VLOOKUP(C130,Tabela1[#All],4,0)*E130,"")</f>
        <v/>
      </c>
      <c r="H130" s="16"/>
    </row>
    <row r="131" spans="1:8" x14ac:dyDescent="0.25">
      <c r="A131" s="14" t="str">
        <f t="shared" ref="A131:A194" ca="1" si="2">IF(C131="","",NOW())</f>
        <v/>
      </c>
      <c r="D131" s="15" t="str">
        <f>IF(C131="","",VLOOKUP(C131,Tabela1[#All],2,0))</f>
        <v/>
      </c>
      <c r="F131" s="16" t="str" cm="1">
        <f t="array" ref="F131">IF(B131="","",(IF(B131="Compra de estoque","",(_xlfn.IFS(AND(B131="Venda de produtos",H131="Sul/Sudeste"),(VLOOKUP(C131,Tabela1[#All],9,0)*E131),AND(B131="Venda de produtos",H131="Nordeste"),(VLOOKUP(C131,Tabela1[#All],11,0)*E131),AND("Venda de produtos",H131="Norte/Centro-Oeste"),(VLOOKUP(C131,Tabela1[#All],13,0)*E131))))))</f>
        <v/>
      </c>
      <c r="G131" s="16" t="str">
        <f>IF(B131="Compra de estoque",VLOOKUP(C131,Tabela1[#All],4,0)*E131,"")</f>
        <v/>
      </c>
      <c r="H131" s="16"/>
    </row>
    <row r="132" spans="1:8" x14ac:dyDescent="0.25">
      <c r="A132" s="14" t="str">
        <f t="shared" ca="1" si="2"/>
        <v/>
      </c>
      <c r="D132" s="15" t="str">
        <f>IF(C132="","",VLOOKUP(C132,Tabela1[#All],2,0))</f>
        <v/>
      </c>
      <c r="F132" s="16" t="str" cm="1">
        <f t="array" ref="F132">IF(B132="","",(IF(B132="Compra de estoque","",(_xlfn.IFS(AND(B132="Venda de produtos",H132="Sul/Sudeste"),(VLOOKUP(C132,Tabela1[#All],9,0)*E132),AND(B132="Venda de produtos",H132="Nordeste"),(VLOOKUP(C132,Tabela1[#All],11,0)*E132),AND("Venda de produtos",H132="Norte/Centro-Oeste"),(VLOOKUP(C132,Tabela1[#All],13,0)*E132))))))</f>
        <v/>
      </c>
      <c r="G132" s="16" t="str">
        <f>IF(B132="Compra de estoque",VLOOKUP(C132,Tabela1[#All],4,0)*E132,"")</f>
        <v/>
      </c>
      <c r="H132" s="16"/>
    </row>
    <row r="133" spans="1:8" x14ac:dyDescent="0.25">
      <c r="A133" s="14" t="str">
        <f t="shared" ca="1" si="2"/>
        <v/>
      </c>
      <c r="D133" s="15" t="str">
        <f>IF(C133="","",VLOOKUP(C133,Tabela1[#All],2,0))</f>
        <v/>
      </c>
      <c r="F133" s="16" t="str" cm="1">
        <f t="array" ref="F133">IF(B133="","",(IF(B133="Compra de estoque","",(_xlfn.IFS(AND(B133="Venda de produtos",H133="Sul/Sudeste"),(VLOOKUP(C133,Tabela1[#All],9,0)*E133),AND(B133="Venda de produtos",H133="Nordeste"),(VLOOKUP(C133,Tabela1[#All],11,0)*E133),AND("Venda de produtos",H133="Norte/Centro-Oeste"),(VLOOKUP(C133,Tabela1[#All],13,0)*E133))))))</f>
        <v/>
      </c>
      <c r="G133" s="16" t="str">
        <f>IF(B133="Compra de estoque",VLOOKUP(C133,Tabela1[#All],4,0)*E133,"")</f>
        <v/>
      </c>
      <c r="H133" s="16"/>
    </row>
    <row r="134" spans="1:8" x14ac:dyDescent="0.25">
      <c r="A134" s="14" t="str">
        <f t="shared" ca="1" si="2"/>
        <v/>
      </c>
      <c r="D134" s="15" t="str">
        <f>IF(C134="","",VLOOKUP(C134,Tabela1[#All],2,0))</f>
        <v/>
      </c>
      <c r="F134" s="16" t="str" cm="1">
        <f t="array" ref="F134">IF(B134="","",(IF(B134="Compra de estoque","",(_xlfn.IFS(AND(B134="Venda de produtos",H134="Sul/Sudeste"),(VLOOKUP(C134,Tabela1[#All],9,0)*E134),AND(B134="Venda de produtos",H134="Nordeste"),(VLOOKUP(C134,Tabela1[#All],11,0)*E134),AND("Venda de produtos",H134="Norte/Centro-Oeste"),(VLOOKUP(C134,Tabela1[#All],13,0)*E134))))))</f>
        <v/>
      </c>
      <c r="G134" s="16" t="str">
        <f>IF(B134="Compra de estoque",VLOOKUP(C134,Tabela1[#All],4,0)*E134,"")</f>
        <v/>
      </c>
      <c r="H134" s="16"/>
    </row>
    <row r="135" spans="1:8" x14ac:dyDescent="0.25">
      <c r="A135" s="14" t="str">
        <f t="shared" ca="1" si="2"/>
        <v/>
      </c>
      <c r="D135" s="15" t="str">
        <f>IF(C135="","",VLOOKUP(C135,Tabela1[#All],2,0))</f>
        <v/>
      </c>
      <c r="F135" s="16" t="str" cm="1">
        <f t="array" ref="F135">IF(B135="","",(IF(B135="Compra de estoque","",(_xlfn.IFS(AND(B135="Venda de produtos",H135="Sul/Sudeste"),(VLOOKUP(C135,Tabela1[#All],9,0)*E135),AND(B135="Venda de produtos",H135="Nordeste"),(VLOOKUP(C135,Tabela1[#All],11,0)*E135),AND("Venda de produtos",H135="Norte/Centro-Oeste"),(VLOOKUP(C135,Tabela1[#All],13,0)*E135))))))</f>
        <v/>
      </c>
      <c r="G135" s="16" t="str">
        <f>IF(B135="Compra de estoque",VLOOKUP(C135,Tabela1[#All],4,0)*E135,"")</f>
        <v/>
      </c>
      <c r="H135" s="16"/>
    </row>
    <row r="136" spans="1:8" x14ac:dyDescent="0.25">
      <c r="A136" s="14" t="str">
        <f t="shared" ca="1" si="2"/>
        <v/>
      </c>
      <c r="D136" s="15" t="str">
        <f>IF(C136="","",VLOOKUP(C136,Tabela1[#All],2,0))</f>
        <v/>
      </c>
      <c r="F136" s="16" t="str" cm="1">
        <f t="array" ref="F136">IF(B136="","",(IF(B136="Compra de estoque","",(_xlfn.IFS(AND(B136="Venda de produtos",H136="Sul/Sudeste"),(VLOOKUP(C136,Tabela1[#All],9,0)*E136),AND(B136="Venda de produtos",H136="Nordeste"),(VLOOKUP(C136,Tabela1[#All],11,0)*E136),AND("Venda de produtos",H136="Norte/Centro-Oeste"),(VLOOKUP(C136,Tabela1[#All],13,0)*E136))))))</f>
        <v/>
      </c>
      <c r="G136" s="16" t="str">
        <f>IF(B136="Compra de estoque",VLOOKUP(C136,Tabela1[#All],4,0)*E136,"")</f>
        <v/>
      </c>
      <c r="H136" s="16"/>
    </row>
    <row r="137" spans="1:8" x14ac:dyDescent="0.25">
      <c r="A137" s="14" t="str">
        <f t="shared" ca="1" si="2"/>
        <v/>
      </c>
      <c r="D137" s="15" t="str">
        <f>IF(C137="","",VLOOKUP(C137,Tabela1[#All],2,0))</f>
        <v/>
      </c>
      <c r="F137" s="16" t="str" cm="1">
        <f t="array" ref="F137">IF(B137="","",(IF(B137="Compra de estoque","",(_xlfn.IFS(AND(B137="Venda de produtos",H137="Sul/Sudeste"),(VLOOKUP(C137,Tabela1[#All],9,0)*E137),AND(B137="Venda de produtos",H137="Nordeste"),(VLOOKUP(C137,Tabela1[#All],11,0)*E137),AND("Venda de produtos",H137="Norte/Centro-Oeste"),(VLOOKUP(C137,Tabela1[#All],13,0)*E137))))))</f>
        <v/>
      </c>
      <c r="G137" s="16" t="str">
        <f>IF(B137="Compra de estoque",VLOOKUP(C137,Tabela1[#All],4,0)*E137,"")</f>
        <v/>
      </c>
      <c r="H137" s="16"/>
    </row>
    <row r="138" spans="1:8" x14ac:dyDescent="0.25">
      <c r="A138" s="14" t="str">
        <f t="shared" ca="1" si="2"/>
        <v/>
      </c>
      <c r="D138" s="15" t="str">
        <f>IF(C138="","",VLOOKUP(C138,Tabela1[#All],2,0))</f>
        <v/>
      </c>
      <c r="F138" s="16" t="str" cm="1">
        <f t="array" ref="F138">IF(B138="","",(IF(B138="Compra de estoque","",(_xlfn.IFS(AND(B138="Venda de produtos",H138="Sul/Sudeste"),(VLOOKUP(C138,Tabela1[#All],9,0)*E138),AND(B138="Venda de produtos",H138="Nordeste"),(VLOOKUP(C138,Tabela1[#All],11,0)*E138),AND("Venda de produtos",H138="Norte/Centro-Oeste"),(VLOOKUP(C138,Tabela1[#All],13,0)*E138))))))</f>
        <v/>
      </c>
      <c r="G138" s="16" t="str">
        <f>IF(B138="Compra de estoque",VLOOKUP(C138,Tabela1[#All],4,0)*E138,"")</f>
        <v/>
      </c>
      <c r="H138" s="16"/>
    </row>
    <row r="139" spans="1:8" x14ac:dyDescent="0.25">
      <c r="A139" s="14" t="str">
        <f t="shared" ca="1" si="2"/>
        <v/>
      </c>
      <c r="D139" s="15" t="str">
        <f>IF(C139="","",VLOOKUP(C139,Tabela1[#All],2,0))</f>
        <v/>
      </c>
      <c r="F139" s="16" t="str" cm="1">
        <f t="array" ref="F139">IF(B139="","",(IF(B139="Compra de estoque","",(_xlfn.IFS(AND(B139="Venda de produtos",H139="Sul/Sudeste"),(VLOOKUP(C139,Tabela1[#All],9,0)*E139),AND(B139="Venda de produtos",H139="Nordeste"),(VLOOKUP(C139,Tabela1[#All],11,0)*E139),AND("Venda de produtos",H139="Norte/Centro-Oeste"),(VLOOKUP(C139,Tabela1[#All],13,0)*E139))))))</f>
        <v/>
      </c>
      <c r="G139" s="16" t="str">
        <f>IF(B139="Compra de estoque",VLOOKUP(C139,Tabela1[#All],4,0)*E139,"")</f>
        <v/>
      </c>
      <c r="H139" s="16"/>
    </row>
    <row r="140" spans="1:8" x14ac:dyDescent="0.25">
      <c r="A140" s="14" t="str">
        <f t="shared" ca="1" si="2"/>
        <v/>
      </c>
      <c r="D140" s="15" t="str">
        <f>IF(C140="","",VLOOKUP(C140,Tabela1[#All],2,0))</f>
        <v/>
      </c>
      <c r="F140" s="16" t="str" cm="1">
        <f t="array" ref="F140">IF(B140="","",(IF(B140="Compra de estoque","",(_xlfn.IFS(AND(B140="Venda de produtos",H140="Sul/Sudeste"),(VLOOKUP(C140,Tabela1[#All],9,0)*E140),AND(B140="Venda de produtos",H140="Nordeste"),(VLOOKUP(C140,Tabela1[#All],11,0)*E140),AND("Venda de produtos",H140="Norte/Centro-Oeste"),(VLOOKUP(C140,Tabela1[#All],13,0)*E140))))))</f>
        <v/>
      </c>
      <c r="G140" s="16" t="str">
        <f>IF(B140="Compra de estoque",VLOOKUP(C140,Tabela1[#All],4,0)*E140,"")</f>
        <v/>
      </c>
      <c r="H140" s="16"/>
    </row>
    <row r="141" spans="1:8" x14ac:dyDescent="0.25">
      <c r="A141" s="14" t="str">
        <f t="shared" ca="1" si="2"/>
        <v/>
      </c>
      <c r="D141" s="15" t="str">
        <f>IF(C141="","",VLOOKUP(C141,Tabela1[#All],2,0))</f>
        <v/>
      </c>
      <c r="F141" s="16" t="str" cm="1">
        <f t="array" ref="F141">IF(B141="","",(IF(B141="Compra de estoque","",(_xlfn.IFS(AND(B141="Venda de produtos",H141="Sul/Sudeste"),(VLOOKUP(C141,Tabela1[#All],9,0)*E141),AND(B141="Venda de produtos",H141="Nordeste"),(VLOOKUP(C141,Tabela1[#All],11,0)*E141),AND("Venda de produtos",H141="Norte/Centro-Oeste"),(VLOOKUP(C141,Tabela1[#All],13,0)*E141))))))</f>
        <v/>
      </c>
      <c r="G141" s="16" t="str">
        <f>IF(B141="Compra de estoque",VLOOKUP(C141,Tabela1[#All],4,0)*E141,"")</f>
        <v/>
      </c>
      <c r="H141" s="16"/>
    </row>
    <row r="142" spans="1:8" x14ac:dyDescent="0.25">
      <c r="A142" s="14" t="str">
        <f t="shared" ca="1" si="2"/>
        <v/>
      </c>
      <c r="D142" s="15" t="str">
        <f>IF(C142="","",VLOOKUP(C142,Tabela1[#All],2,0))</f>
        <v/>
      </c>
      <c r="F142" s="16" t="str" cm="1">
        <f t="array" ref="F142">IF(B142="","",(IF(B142="Compra de estoque","",(_xlfn.IFS(AND(B142="Venda de produtos",H142="Sul/Sudeste"),(VLOOKUP(C142,Tabela1[#All],9,0)*E142),AND(B142="Venda de produtos",H142="Nordeste"),(VLOOKUP(C142,Tabela1[#All],11,0)*E142),AND("Venda de produtos",H142="Norte/Centro-Oeste"),(VLOOKUP(C142,Tabela1[#All],13,0)*E142))))))</f>
        <v/>
      </c>
      <c r="G142" s="16" t="str">
        <f>IF(B142="Compra de estoque",VLOOKUP(C142,Tabela1[#All],4,0)*E142,"")</f>
        <v/>
      </c>
      <c r="H142" s="16"/>
    </row>
    <row r="143" spans="1:8" x14ac:dyDescent="0.25">
      <c r="A143" s="14" t="str">
        <f t="shared" ca="1" si="2"/>
        <v/>
      </c>
      <c r="D143" s="15" t="str">
        <f>IF(C143="","",VLOOKUP(C143,Tabela1[#All],2,0))</f>
        <v/>
      </c>
      <c r="F143" s="16" t="str" cm="1">
        <f t="array" ref="F143">IF(B143="","",(IF(B143="Compra de estoque","",(_xlfn.IFS(AND(B143="Venda de produtos",H143="Sul/Sudeste"),(VLOOKUP(C143,Tabela1[#All],9,0)*E143),AND(B143="Venda de produtos",H143="Nordeste"),(VLOOKUP(C143,Tabela1[#All],11,0)*E143),AND("Venda de produtos",H143="Norte/Centro-Oeste"),(VLOOKUP(C143,Tabela1[#All],13,0)*E143))))))</f>
        <v/>
      </c>
      <c r="G143" s="16" t="str">
        <f>IF(B143="Compra de estoque",VLOOKUP(C143,Tabela1[#All],4,0)*E143,"")</f>
        <v/>
      </c>
      <c r="H143" s="16"/>
    </row>
    <row r="144" spans="1:8" x14ac:dyDescent="0.25">
      <c r="A144" s="14" t="str">
        <f t="shared" ca="1" si="2"/>
        <v/>
      </c>
      <c r="D144" s="15" t="str">
        <f>IF(C144="","",VLOOKUP(C144,Tabela1[#All],2,0))</f>
        <v/>
      </c>
      <c r="F144" s="16" t="str" cm="1">
        <f t="array" ref="F144">IF(B144="","",(IF(B144="Compra de estoque","",(_xlfn.IFS(AND(B144="Venda de produtos",H144="Sul/Sudeste"),(VLOOKUP(C144,Tabela1[#All],9,0)*E144),AND(B144="Venda de produtos",H144="Nordeste"),(VLOOKUP(C144,Tabela1[#All],11,0)*E144),AND("Venda de produtos",H144="Norte/Centro-Oeste"),(VLOOKUP(C144,Tabela1[#All],13,0)*E144))))))</f>
        <v/>
      </c>
      <c r="G144" s="16" t="str">
        <f>IF(B144="Compra de estoque",VLOOKUP(C144,Tabela1[#All],4,0)*E144,"")</f>
        <v/>
      </c>
      <c r="H144" s="16"/>
    </row>
    <row r="145" spans="1:8" x14ac:dyDescent="0.25">
      <c r="A145" s="14" t="str">
        <f t="shared" ca="1" si="2"/>
        <v/>
      </c>
      <c r="D145" s="15" t="str">
        <f>IF(C145="","",VLOOKUP(C145,Tabela1[#All],2,0))</f>
        <v/>
      </c>
      <c r="F145" s="16" t="str" cm="1">
        <f t="array" ref="F145">IF(B145="","",(IF(B145="Compra de estoque","",(_xlfn.IFS(AND(B145="Venda de produtos",H145="Sul/Sudeste"),(VLOOKUP(C145,Tabela1[#All],9,0)*E145),AND(B145="Venda de produtos",H145="Nordeste"),(VLOOKUP(C145,Tabela1[#All],11,0)*E145),AND("Venda de produtos",H145="Norte/Centro-Oeste"),(VLOOKUP(C145,Tabela1[#All],13,0)*E145))))))</f>
        <v/>
      </c>
      <c r="G145" s="16" t="str">
        <f>IF(B145="Compra de estoque",VLOOKUP(C145,Tabela1[#All],4,0)*E145,"")</f>
        <v/>
      </c>
      <c r="H145" s="16"/>
    </row>
    <row r="146" spans="1:8" x14ac:dyDescent="0.25">
      <c r="A146" s="14" t="str">
        <f t="shared" ca="1" si="2"/>
        <v/>
      </c>
      <c r="D146" s="15" t="str">
        <f>IF(C146="","",VLOOKUP(C146,Tabela1[#All],2,0))</f>
        <v/>
      </c>
      <c r="F146" s="16" t="str" cm="1">
        <f t="array" ref="F146">IF(B146="","",(IF(B146="Compra de estoque","",(_xlfn.IFS(AND(B146="Venda de produtos",H146="Sul/Sudeste"),(VLOOKUP(C146,Tabela1[#All],9,0)*E146),AND(B146="Venda de produtos",H146="Nordeste"),(VLOOKUP(C146,Tabela1[#All],11,0)*E146),AND("Venda de produtos",H146="Norte/Centro-Oeste"),(VLOOKUP(C146,Tabela1[#All],13,0)*E146))))))</f>
        <v/>
      </c>
      <c r="G146" s="16" t="str">
        <f>IF(B146="Compra de estoque",VLOOKUP(C146,Tabela1[#All],4,0)*E146,"")</f>
        <v/>
      </c>
      <c r="H146" s="16"/>
    </row>
    <row r="147" spans="1:8" x14ac:dyDescent="0.25">
      <c r="A147" s="14" t="str">
        <f t="shared" ca="1" si="2"/>
        <v/>
      </c>
      <c r="D147" s="15" t="str">
        <f>IF(C147="","",VLOOKUP(C147,Tabela1[#All],2,0))</f>
        <v/>
      </c>
      <c r="F147" s="16" t="str" cm="1">
        <f t="array" ref="F147">IF(B147="","",(IF(B147="Compra de estoque","",(_xlfn.IFS(AND(B147="Venda de produtos",H147="Sul/Sudeste"),(VLOOKUP(C147,Tabela1[#All],9,0)*E147),AND(B147="Venda de produtos",H147="Nordeste"),(VLOOKUP(C147,Tabela1[#All],11,0)*E147),AND("Venda de produtos",H147="Norte/Centro-Oeste"),(VLOOKUP(C147,Tabela1[#All],13,0)*E147))))))</f>
        <v/>
      </c>
      <c r="G147" s="16" t="str">
        <f>IF(B147="Compra de estoque",VLOOKUP(C147,Tabela1[#All],4,0)*E147,"")</f>
        <v/>
      </c>
      <c r="H147" s="16"/>
    </row>
    <row r="148" spans="1:8" x14ac:dyDescent="0.25">
      <c r="A148" s="14" t="str">
        <f t="shared" ca="1" si="2"/>
        <v/>
      </c>
      <c r="D148" s="15" t="str">
        <f>IF(C148="","",VLOOKUP(C148,Tabela1[#All],2,0))</f>
        <v/>
      </c>
      <c r="F148" s="16" t="str" cm="1">
        <f t="array" ref="F148">IF(B148="","",(IF(B148="Compra de estoque","",(_xlfn.IFS(AND(B148="Venda de produtos",H148="Sul/Sudeste"),(VLOOKUP(C148,Tabela1[#All],9,0)*E148),AND(B148="Venda de produtos",H148="Nordeste"),(VLOOKUP(C148,Tabela1[#All],11,0)*E148),AND("Venda de produtos",H148="Norte/Centro-Oeste"),(VLOOKUP(C148,Tabela1[#All],13,0)*E148))))))</f>
        <v/>
      </c>
      <c r="G148" s="16" t="str">
        <f>IF(B148="Compra de estoque",VLOOKUP(C148,Tabela1[#All],4,0)*E148,"")</f>
        <v/>
      </c>
      <c r="H148" s="16"/>
    </row>
    <row r="149" spans="1:8" x14ac:dyDescent="0.25">
      <c r="A149" s="14" t="str">
        <f t="shared" ca="1" si="2"/>
        <v/>
      </c>
      <c r="D149" s="15" t="str">
        <f>IF(C149="","",VLOOKUP(C149,Tabela1[#All],2,0))</f>
        <v/>
      </c>
      <c r="F149" s="16" t="str" cm="1">
        <f t="array" ref="F149">IF(B149="","",(IF(B149="Compra de estoque","",(_xlfn.IFS(AND(B149="Venda de produtos",H149="Sul/Sudeste"),(VLOOKUP(C149,Tabela1[#All],9,0)*E149),AND(B149="Venda de produtos",H149="Nordeste"),(VLOOKUP(C149,Tabela1[#All],11,0)*E149),AND("Venda de produtos",H149="Norte/Centro-Oeste"),(VLOOKUP(C149,Tabela1[#All],13,0)*E149))))))</f>
        <v/>
      </c>
      <c r="G149" s="16" t="str">
        <f>IF(B149="Compra de estoque",VLOOKUP(C149,Tabela1[#All],4,0)*E149,"")</f>
        <v/>
      </c>
      <c r="H149" s="16"/>
    </row>
    <row r="150" spans="1:8" x14ac:dyDescent="0.25">
      <c r="A150" s="14" t="str">
        <f t="shared" ca="1" si="2"/>
        <v/>
      </c>
      <c r="D150" s="15" t="str">
        <f>IF(C150="","",VLOOKUP(C150,Tabela1[#All],2,0))</f>
        <v/>
      </c>
      <c r="F150" s="16" t="str" cm="1">
        <f t="array" ref="F150">IF(B150="","",(IF(B150="Compra de estoque","",(_xlfn.IFS(AND(B150="Venda de produtos",H150="Sul/Sudeste"),(VLOOKUP(C150,Tabela1[#All],9,0)*E150),AND(B150="Venda de produtos",H150="Nordeste"),(VLOOKUP(C150,Tabela1[#All],11,0)*E150),AND("Venda de produtos",H150="Norte/Centro-Oeste"),(VLOOKUP(C150,Tabela1[#All],13,0)*E150))))))</f>
        <v/>
      </c>
      <c r="G150" s="16" t="str">
        <f>IF(B150="Compra de estoque",VLOOKUP(C150,Tabela1[#All],4,0)*E150,"")</f>
        <v/>
      </c>
      <c r="H150" s="16"/>
    </row>
    <row r="151" spans="1:8" x14ac:dyDescent="0.25">
      <c r="A151" s="14" t="str">
        <f t="shared" ca="1" si="2"/>
        <v/>
      </c>
      <c r="D151" s="15" t="str">
        <f>IF(C151="","",VLOOKUP(C151,Tabela1[#All],2,0))</f>
        <v/>
      </c>
      <c r="F151" s="16" t="str" cm="1">
        <f t="array" ref="F151">IF(B151="","",(IF(B151="Compra de estoque","",(_xlfn.IFS(AND(B151="Venda de produtos",H151="Sul/Sudeste"),(VLOOKUP(C151,Tabela1[#All],9,0)*E151),AND(B151="Venda de produtos",H151="Nordeste"),(VLOOKUP(C151,Tabela1[#All],11,0)*E151),AND("Venda de produtos",H151="Norte/Centro-Oeste"),(VLOOKUP(C151,Tabela1[#All],13,0)*E151))))))</f>
        <v/>
      </c>
      <c r="G151" s="16" t="str">
        <f>IF(B151="Compra de estoque",VLOOKUP(C151,Tabela1[#All],4,0)*E151,"")</f>
        <v/>
      </c>
      <c r="H151" s="16"/>
    </row>
    <row r="152" spans="1:8" x14ac:dyDescent="0.25">
      <c r="A152" s="14" t="str">
        <f t="shared" ca="1" si="2"/>
        <v/>
      </c>
      <c r="D152" s="15" t="str">
        <f>IF(C152="","",VLOOKUP(C152,Tabela1[#All],2,0))</f>
        <v/>
      </c>
      <c r="F152" s="16" t="str" cm="1">
        <f t="array" ref="F152">IF(B152="","",(IF(B152="Compra de estoque","",(_xlfn.IFS(AND(B152="Venda de produtos",H152="Sul/Sudeste"),(VLOOKUP(C152,Tabela1[#All],9,0)*E152),AND(B152="Venda de produtos",H152="Nordeste"),(VLOOKUP(C152,Tabela1[#All],11,0)*E152),AND("Venda de produtos",H152="Norte/Centro-Oeste"),(VLOOKUP(C152,Tabela1[#All],13,0)*E152))))))</f>
        <v/>
      </c>
      <c r="G152" s="16" t="str">
        <f>IF(B152="Compra de estoque",VLOOKUP(C152,Tabela1[#All],4,0)*E152,"")</f>
        <v/>
      </c>
      <c r="H152" s="16"/>
    </row>
    <row r="153" spans="1:8" x14ac:dyDescent="0.25">
      <c r="A153" s="14" t="str">
        <f t="shared" ca="1" si="2"/>
        <v/>
      </c>
      <c r="D153" s="15" t="str">
        <f>IF(C153="","",VLOOKUP(C153,Tabela1[#All],2,0))</f>
        <v/>
      </c>
      <c r="F153" s="16" t="str" cm="1">
        <f t="array" ref="F153">IF(B153="","",(IF(B153="Compra de estoque","",(_xlfn.IFS(AND(B153="Venda de produtos",H153="Sul/Sudeste"),(VLOOKUP(C153,Tabela1[#All],9,0)*E153),AND(B153="Venda de produtos",H153="Nordeste"),(VLOOKUP(C153,Tabela1[#All],11,0)*E153),AND("Venda de produtos",H153="Norte/Centro-Oeste"),(VLOOKUP(C153,Tabela1[#All],13,0)*E153))))))</f>
        <v/>
      </c>
      <c r="G153" s="16" t="str">
        <f>IF(B153="Compra de estoque",VLOOKUP(C153,Tabela1[#All],4,0)*E153,"")</f>
        <v/>
      </c>
      <c r="H153" s="16"/>
    </row>
    <row r="154" spans="1:8" x14ac:dyDescent="0.25">
      <c r="A154" s="14" t="str">
        <f t="shared" ca="1" si="2"/>
        <v/>
      </c>
      <c r="D154" s="15" t="str">
        <f>IF(C154="","",VLOOKUP(C154,Tabela1[#All],2,0))</f>
        <v/>
      </c>
      <c r="F154" s="16" t="str" cm="1">
        <f t="array" ref="F154">IF(B154="","",(IF(B154="Compra de estoque","",(_xlfn.IFS(AND(B154="Venda de produtos",H154="Sul/Sudeste"),(VLOOKUP(C154,Tabela1[#All],9,0)*E154),AND(B154="Venda de produtos",H154="Nordeste"),(VLOOKUP(C154,Tabela1[#All],11,0)*E154),AND("Venda de produtos",H154="Norte/Centro-Oeste"),(VLOOKUP(C154,Tabela1[#All],13,0)*E154))))))</f>
        <v/>
      </c>
      <c r="G154" s="16" t="str">
        <f>IF(B154="Compra de estoque",VLOOKUP(C154,Tabela1[#All],4,0)*E154,"")</f>
        <v/>
      </c>
      <c r="H154" s="16"/>
    </row>
    <row r="155" spans="1:8" x14ac:dyDescent="0.25">
      <c r="A155" s="14" t="str">
        <f t="shared" ca="1" si="2"/>
        <v/>
      </c>
      <c r="D155" s="15" t="str">
        <f>IF(C155="","",VLOOKUP(C155,Tabela1[#All],2,0))</f>
        <v/>
      </c>
      <c r="F155" s="16" t="str" cm="1">
        <f t="array" ref="F155">IF(B155="","",(IF(B155="Compra de estoque","",(_xlfn.IFS(AND(B155="Venda de produtos",H155="Sul/Sudeste"),(VLOOKUP(C155,Tabela1[#All],9,0)*E155),AND(B155="Venda de produtos",H155="Nordeste"),(VLOOKUP(C155,Tabela1[#All],11,0)*E155),AND("Venda de produtos",H155="Norte/Centro-Oeste"),(VLOOKUP(C155,Tabela1[#All],13,0)*E155))))))</f>
        <v/>
      </c>
      <c r="G155" s="16" t="str">
        <f>IF(B155="Compra de estoque",VLOOKUP(C155,Tabela1[#All],4,0)*E155,"")</f>
        <v/>
      </c>
      <c r="H155" s="16"/>
    </row>
    <row r="156" spans="1:8" x14ac:dyDescent="0.25">
      <c r="A156" s="14" t="str">
        <f t="shared" ca="1" si="2"/>
        <v/>
      </c>
      <c r="D156" s="15" t="str">
        <f>IF(C156="","",VLOOKUP(C156,Tabela1[#All],2,0))</f>
        <v/>
      </c>
      <c r="F156" s="16" t="str" cm="1">
        <f t="array" ref="F156">IF(B156="","",(IF(B156="Compra de estoque","",(_xlfn.IFS(AND(B156="Venda de produtos",H156="Sul/Sudeste"),(VLOOKUP(C156,Tabela1[#All],9,0)*E156),AND(B156="Venda de produtos",H156="Nordeste"),(VLOOKUP(C156,Tabela1[#All],11,0)*E156),AND("Venda de produtos",H156="Norte/Centro-Oeste"),(VLOOKUP(C156,Tabela1[#All],13,0)*E156))))))</f>
        <v/>
      </c>
      <c r="G156" s="16" t="str">
        <f>IF(B156="Compra de estoque",VLOOKUP(C156,Tabela1[#All],4,0)*E156,"")</f>
        <v/>
      </c>
      <c r="H156" s="16"/>
    </row>
    <row r="157" spans="1:8" x14ac:dyDescent="0.25">
      <c r="A157" s="14" t="str">
        <f t="shared" ca="1" si="2"/>
        <v/>
      </c>
      <c r="D157" s="15" t="str">
        <f>IF(C157="","",VLOOKUP(C157,Tabela1[#All],2,0))</f>
        <v/>
      </c>
      <c r="F157" s="16" t="str" cm="1">
        <f t="array" ref="F157">IF(B157="","",(IF(B157="Compra de estoque","",(_xlfn.IFS(AND(B157="Venda de produtos",H157="Sul/Sudeste"),(VLOOKUP(C157,Tabela1[#All],9,0)*E157),AND(B157="Venda de produtos",H157="Nordeste"),(VLOOKUP(C157,Tabela1[#All],11,0)*E157),AND("Venda de produtos",H157="Norte/Centro-Oeste"),(VLOOKUP(C157,Tabela1[#All],13,0)*E157))))))</f>
        <v/>
      </c>
      <c r="G157" s="16" t="str">
        <f>IF(B157="Compra de estoque",VLOOKUP(C157,Tabela1[#All],4,0)*E157,"")</f>
        <v/>
      </c>
      <c r="H157" s="16"/>
    </row>
    <row r="158" spans="1:8" x14ac:dyDescent="0.25">
      <c r="A158" s="14" t="str">
        <f t="shared" ca="1" si="2"/>
        <v/>
      </c>
      <c r="D158" s="15" t="str">
        <f>IF(C158="","",VLOOKUP(C158,Tabela1[#All],2,0))</f>
        <v/>
      </c>
      <c r="F158" s="16" t="str" cm="1">
        <f t="array" ref="F158">IF(B158="","",(IF(B158="Compra de estoque","",(_xlfn.IFS(AND(B158="Venda de produtos",H158="Sul/Sudeste"),(VLOOKUP(C158,Tabela1[#All],9,0)*E158),AND(B158="Venda de produtos",H158="Nordeste"),(VLOOKUP(C158,Tabela1[#All],11,0)*E158),AND("Venda de produtos",H158="Norte/Centro-Oeste"),(VLOOKUP(C158,Tabela1[#All],13,0)*E158))))))</f>
        <v/>
      </c>
      <c r="G158" s="16" t="str">
        <f>IF(B158="Compra de estoque",VLOOKUP(C158,Tabela1[#All],4,0)*E158,"")</f>
        <v/>
      </c>
      <c r="H158" s="16"/>
    </row>
    <row r="159" spans="1:8" x14ac:dyDescent="0.25">
      <c r="A159" s="14" t="str">
        <f t="shared" ca="1" si="2"/>
        <v/>
      </c>
      <c r="D159" s="15" t="str">
        <f>IF(C159="","",VLOOKUP(C159,Tabela1[#All],2,0))</f>
        <v/>
      </c>
      <c r="F159" s="16" t="str" cm="1">
        <f t="array" ref="F159">IF(B159="","",(IF(B159="Compra de estoque","",(_xlfn.IFS(AND(B159="Venda de produtos",H159="Sul/Sudeste"),(VLOOKUP(C159,Tabela1[#All],9,0)*E159),AND(B159="Venda de produtos",H159="Nordeste"),(VLOOKUP(C159,Tabela1[#All],11,0)*E159),AND("Venda de produtos",H159="Norte/Centro-Oeste"),(VLOOKUP(C159,Tabela1[#All],13,0)*E159))))))</f>
        <v/>
      </c>
      <c r="G159" s="16" t="str">
        <f>IF(B159="Compra de estoque",VLOOKUP(C159,Tabela1[#All],4,0)*E159,"")</f>
        <v/>
      </c>
      <c r="H159" s="16"/>
    </row>
    <row r="160" spans="1:8" x14ac:dyDescent="0.25">
      <c r="A160" s="14" t="str">
        <f t="shared" ca="1" si="2"/>
        <v/>
      </c>
      <c r="D160" s="15" t="str">
        <f>IF(C160="","",VLOOKUP(C160,Tabela1[#All],2,0))</f>
        <v/>
      </c>
      <c r="F160" s="16" t="str" cm="1">
        <f t="array" ref="F160">IF(B160="","",(IF(B160="Compra de estoque","",(_xlfn.IFS(AND(B160="Venda de produtos",H160="Sul/Sudeste"),(VLOOKUP(C160,Tabela1[#All],9,0)*E160),AND(B160="Venda de produtos",H160="Nordeste"),(VLOOKUP(C160,Tabela1[#All],11,0)*E160),AND("Venda de produtos",H160="Norte/Centro-Oeste"),(VLOOKUP(C160,Tabela1[#All],13,0)*E160))))))</f>
        <v/>
      </c>
      <c r="G160" s="16" t="str">
        <f>IF(B160="Compra de estoque",VLOOKUP(C160,Tabela1[#All],4,0)*E160,"")</f>
        <v/>
      </c>
      <c r="H160" s="16"/>
    </row>
    <row r="161" spans="1:8" x14ac:dyDescent="0.25">
      <c r="A161" s="14" t="str">
        <f t="shared" ca="1" si="2"/>
        <v/>
      </c>
      <c r="D161" s="15" t="str">
        <f>IF(C161="","",VLOOKUP(C161,Tabela1[#All],2,0))</f>
        <v/>
      </c>
      <c r="F161" s="16" t="str" cm="1">
        <f t="array" ref="F161">IF(B161="","",(IF(B161="Compra de estoque","",(_xlfn.IFS(AND(B161="Venda de produtos",H161="Sul/Sudeste"),(VLOOKUP(C161,Tabela1[#All],9,0)*E161),AND(B161="Venda de produtos",H161="Nordeste"),(VLOOKUP(C161,Tabela1[#All],11,0)*E161),AND("Venda de produtos",H161="Norte/Centro-Oeste"),(VLOOKUP(C161,Tabela1[#All],13,0)*E161))))))</f>
        <v/>
      </c>
      <c r="G161" s="16" t="str">
        <f>IF(B161="Compra de estoque",VLOOKUP(C161,Tabela1[#All],4,0)*E161,"")</f>
        <v/>
      </c>
      <c r="H161" s="16"/>
    </row>
    <row r="162" spans="1:8" x14ac:dyDescent="0.25">
      <c r="A162" s="14" t="str">
        <f t="shared" ca="1" si="2"/>
        <v/>
      </c>
      <c r="D162" s="15" t="str">
        <f>IF(C162="","",VLOOKUP(C162,Tabela1[#All],2,0))</f>
        <v/>
      </c>
      <c r="F162" s="16" t="str" cm="1">
        <f t="array" ref="F162">IF(B162="","",(IF(B162="Compra de estoque","",(_xlfn.IFS(AND(B162="Venda de produtos",H162="Sul/Sudeste"),(VLOOKUP(C162,Tabela1[#All],9,0)*E162),AND(B162="Venda de produtos",H162="Nordeste"),(VLOOKUP(C162,Tabela1[#All],11,0)*E162),AND("Venda de produtos",H162="Norte/Centro-Oeste"),(VLOOKUP(C162,Tabela1[#All],13,0)*E162))))))</f>
        <v/>
      </c>
      <c r="G162" s="16" t="str">
        <f>IF(B162="Compra de estoque",VLOOKUP(C162,Tabela1[#All],4,0)*E162,"")</f>
        <v/>
      </c>
      <c r="H162" s="16"/>
    </row>
    <row r="163" spans="1:8" x14ac:dyDescent="0.25">
      <c r="A163" s="14" t="str">
        <f t="shared" ca="1" si="2"/>
        <v/>
      </c>
      <c r="D163" s="15" t="str">
        <f>IF(C163="","",VLOOKUP(C163,Tabela1[#All],2,0))</f>
        <v/>
      </c>
      <c r="F163" s="16" t="str" cm="1">
        <f t="array" ref="F163">IF(B163="","",(IF(B163="Compra de estoque","",(_xlfn.IFS(AND(B163="Venda de produtos",H163="Sul/Sudeste"),(VLOOKUP(C163,Tabela1[#All],9,0)*E163),AND(B163="Venda de produtos",H163="Nordeste"),(VLOOKUP(C163,Tabela1[#All],11,0)*E163),AND("Venda de produtos",H163="Norte/Centro-Oeste"),(VLOOKUP(C163,Tabela1[#All],13,0)*E163))))))</f>
        <v/>
      </c>
      <c r="G163" s="16" t="str">
        <f>IF(B163="Compra de estoque",VLOOKUP(C163,Tabela1[#All],4,0)*E163,"")</f>
        <v/>
      </c>
      <c r="H163" s="16"/>
    </row>
    <row r="164" spans="1:8" x14ac:dyDescent="0.25">
      <c r="A164" s="14" t="str">
        <f t="shared" ca="1" si="2"/>
        <v/>
      </c>
      <c r="D164" s="15" t="str">
        <f>IF(C164="","",VLOOKUP(C164,Tabela1[#All],2,0))</f>
        <v/>
      </c>
      <c r="F164" s="16" t="str" cm="1">
        <f t="array" ref="F164">IF(B164="","",(IF(B164="Compra de estoque","",(_xlfn.IFS(AND(B164="Venda de produtos",H164="Sul/Sudeste"),(VLOOKUP(C164,Tabela1[#All],9,0)*E164),AND(B164="Venda de produtos",H164="Nordeste"),(VLOOKUP(C164,Tabela1[#All],11,0)*E164),AND("Venda de produtos",H164="Norte/Centro-Oeste"),(VLOOKUP(C164,Tabela1[#All],13,0)*E164))))))</f>
        <v/>
      </c>
      <c r="G164" s="16" t="str">
        <f>IF(B164="Compra de estoque",VLOOKUP(C164,Tabela1[#All],4,0)*E164,"")</f>
        <v/>
      </c>
      <c r="H164" s="16"/>
    </row>
    <row r="165" spans="1:8" x14ac:dyDescent="0.25">
      <c r="A165" s="14" t="str">
        <f t="shared" ca="1" si="2"/>
        <v/>
      </c>
      <c r="D165" s="15" t="str">
        <f>IF(C165="","",VLOOKUP(C165,Tabela1[#All],2,0))</f>
        <v/>
      </c>
      <c r="F165" s="16" t="str" cm="1">
        <f t="array" ref="F165">IF(B165="","",(IF(B165="Compra de estoque","",(_xlfn.IFS(AND(B165="Venda de produtos",H165="Sul/Sudeste"),(VLOOKUP(C165,Tabela1[#All],9,0)*E165),AND(B165="Venda de produtos",H165="Nordeste"),(VLOOKUP(C165,Tabela1[#All],11,0)*E165),AND("Venda de produtos",H165="Norte/Centro-Oeste"),(VLOOKUP(C165,Tabela1[#All],13,0)*E165))))))</f>
        <v/>
      </c>
      <c r="G165" s="16" t="str">
        <f>IF(B165="Compra de estoque",VLOOKUP(C165,Tabela1[#All],4,0)*E165,"")</f>
        <v/>
      </c>
      <c r="H165" s="16"/>
    </row>
    <row r="166" spans="1:8" x14ac:dyDescent="0.25">
      <c r="A166" s="14" t="str">
        <f t="shared" ca="1" si="2"/>
        <v/>
      </c>
      <c r="D166" s="15" t="str">
        <f>IF(C166="","",VLOOKUP(C166,Tabela1[#All],2,0))</f>
        <v/>
      </c>
      <c r="F166" s="16" t="str" cm="1">
        <f t="array" ref="F166">IF(B166="","",(IF(B166="Compra de estoque","",(_xlfn.IFS(AND(B166="Venda de produtos",H166="Sul/Sudeste"),(VLOOKUP(C166,Tabela1[#All],9,0)*E166),AND(B166="Venda de produtos",H166="Nordeste"),(VLOOKUP(C166,Tabela1[#All],11,0)*E166),AND("Venda de produtos",H166="Norte/Centro-Oeste"),(VLOOKUP(C166,Tabela1[#All],13,0)*E166))))))</f>
        <v/>
      </c>
      <c r="G166" s="16" t="str">
        <f>IF(B166="Compra de estoque",VLOOKUP(C166,Tabela1[#All],4,0)*E166,"")</f>
        <v/>
      </c>
      <c r="H166" s="16"/>
    </row>
    <row r="167" spans="1:8" x14ac:dyDescent="0.25">
      <c r="A167" s="14" t="str">
        <f t="shared" ca="1" si="2"/>
        <v/>
      </c>
      <c r="D167" s="15" t="str">
        <f>IF(C167="","",VLOOKUP(C167,Tabela1[#All],2,0))</f>
        <v/>
      </c>
      <c r="F167" s="16" t="str" cm="1">
        <f t="array" ref="F167">IF(B167="","",(IF(B167="Compra de estoque","",(_xlfn.IFS(AND(B167="Venda de produtos",H167="Sul/Sudeste"),(VLOOKUP(C167,Tabela1[#All],9,0)*E167),AND(B167="Venda de produtos",H167="Nordeste"),(VLOOKUP(C167,Tabela1[#All],11,0)*E167),AND("Venda de produtos",H167="Norte/Centro-Oeste"),(VLOOKUP(C167,Tabela1[#All],13,0)*E167))))))</f>
        <v/>
      </c>
      <c r="G167" s="16" t="str">
        <f>IF(B167="Compra de estoque",VLOOKUP(C167,Tabela1[#All],4,0)*E167,"")</f>
        <v/>
      </c>
      <c r="H167" s="16"/>
    </row>
    <row r="168" spans="1:8" x14ac:dyDescent="0.25">
      <c r="A168" s="14" t="str">
        <f t="shared" ca="1" si="2"/>
        <v/>
      </c>
      <c r="D168" s="15" t="str">
        <f>IF(C168="","",VLOOKUP(C168,Tabela1[#All],2,0))</f>
        <v/>
      </c>
      <c r="F168" s="16" t="str" cm="1">
        <f t="array" ref="F168">IF(B168="","",(IF(B168="Compra de estoque","",(_xlfn.IFS(AND(B168="Venda de produtos",H168="Sul/Sudeste"),(VLOOKUP(C168,Tabela1[#All],9,0)*E168),AND(B168="Venda de produtos",H168="Nordeste"),(VLOOKUP(C168,Tabela1[#All],11,0)*E168),AND("Venda de produtos",H168="Norte/Centro-Oeste"),(VLOOKUP(C168,Tabela1[#All],13,0)*E168))))))</f>
        <v/>
      </c>
      <c r="G168" s="16" t="str">
        <f>IF(B168="Compra de estoque",VLOOKUP(C168,Tabela1[#All],4,0)*E168,"")</f>
        <v/>
      </c>
      <c r="H168" s="16"/>
    </row>
    <row r="169" spans="1:8" x14ac:dyDescent="0.25">
      <c r="A169" s="14" t="str">
        <f t="shared" ca="1" si="2"/>
        <v/>
      </c>
      <c r="D169" s="15" t="str">
        <f>IF(C169="","",VLOOKUP(C169,Tabela1[#All],2,0))</f>
        <v/>
      </c>
      <c r="F169" s="16" t="str" cm="1">
        <f t="array" ref="F169">IF(B169="","",(IF(B169="Compra de estoque","",(_xlfn.IFS(AND(B169="Venda de produtos",H169="Sul/Sudeste"),(VLOOKUP(C169,Tabela1[#All],9,0)*E169),AND(B169="Venda de produtos",H169="Nordeste"),(VLOOKUP(C169,Tabela1[#All],11,0)*E169),AND("Venda de produtos",H169="Norte/Centro-Oeste"),(VLOOKUP(C169,Tabela1[#All],13,0)*E169))))))</f>
        <v/>
      </c>
      <c r="G169" s="16" t="str">
        <f>IF(B169="Compra de estoque",VLOOKUP(C169,Tabela1[#All],4,0)*E169,"")</f>
        <v/>
      </c>
      <c r="H169" s="16"/>
    </row>
    <row r="170" spans="1:8" x14ac:dyDescent="0.25">
      <c r="A170" s="14" t="str">
        <f t="shared" ca="1" si="2"/>
        <v/>
      </c>
      <c r="D170" s="15" t="str">
        <f>IF(C170="","",VLOOKUP(C170,Tabela1[#All],2,0))</f>
        <v/>
      </c>
      <c r="F170" s="16" t="str" cm="1">
        <f t="array" ref="F170">IF(B170="","",(IF(B170="Compra de estoque","",(_xlfn.IFS(AND(B170="Venda de produtos",H170="Sul/Sudeste"),(VLOOKUP(C170,Tabela1[#All],9,0)*E170),AND(B170="Venda de produtos",H170="Nordeste"),(VLOOKUP(C170,Tabela1[#All],11,0)*E170),AND("Venda de produtos",H170="Norte/Centro-Oeste"),(VLOOKUP(C170,Tabela1[#All],13,0)*E170))))))</f>
        <v/>
      </c>
      <c r="G170" s="16" t="str">
        <f>IF(B170="Compra de estoque",VLOOKUP(C170,Tabela1[#All],4,0)*E170,"")</f>
        <v/>
      </c>
      <c r="H170" s="16"/>
    </row>
    <row r="171" spans="1:8" x14ac:dyDescent="0.25">
      <c r="A171" s="14" t="str">
        <f t="shared" ca="1" si="2"/>
        <v/>
      </c>
      <c r="D171" s="15" t="str">
        <f>IF(C171="","",VLOOKUP(C171,Tabela1[#All],2,0))</f>
        <v/>
      </c>
      <c r="F171" s="16" t="str" cm="1">
        <f t="array" ref="F171">IF(B171="","",(IF(B171="Compra de estoque","",(_xlfn.IFS(AND(B171="Venda de produtos",H171="Sul/Sudeste"),(VLOOKUP(C171,Tabela1[#All],9,0)*E171),AND(B171="Venda de produtos",H171="Nordeste"),(VLOOKUP(C171,Tabela1[#All],11,0)*E171),AND("Venda de produtos",H171="Norte/Centro-Oeste"),(VLOOKUP(C171,Tabela1[#All],13,0)*E171))))))</f>
        <v/>
      </c>
      <c r="G171" s="16" t="str">
        <f>IF(B171="Compra de estoque",VLOOKUP(C171,Tabela1[#All],4,0)*E171,"")</f>
        <v/>
      </c>
      <c r="H171" s="16"/>
    </row>
    <row r="172" spans="1:8" x14ac:dyDescent="0.25">
      <c r="A172" s="14" t="str">
        <f t="shared" ca="1" si="2"/>
        <v/>
      </c>
      <c r="D172" s="15" t="str">
        <f>IF(C172="","",VLOOKUP(C172,Tabela1[#All],2,0))</f>
        <v/>
      </c>
      <c r="F172" s="16" t="str" cm="1">
        <f t="array" ref="F172">IF(B172="","",(IF(B172="Compra de estoque","",(_xlfn.IFS(AND(B172="Venda de produtos",H172="Sul/Sudeste"),(VLOOKUP(C172,Tabela1[#All],9,0)*E172),AND(B172="Venda de produtos",H172="Nordeste"),(VLOOKUP(C172,Tabela1[#All],11,0)*E172),AND("Venda de produtos",H172="Norte/Centro-Oeste"),(VLOOKUP(C172,Tabela1[#All],13,0)*E172))))))</f>
        <v/>
      </c>
      <c r="G172" s="16" t="str">
        <f>IF(B172="Compra de estoque",VLOOKUP(C172,Tabela1[#All],4,0)*E172,"")</f>
        <v/>
      </c>
      <c r="H172" s="16"/>
    </row>
    <row r="173" spans="1:8" x14ac:dyDescent="0.25">
      <c r="A173" s="14" t="str">
        <f t="shared" ca="1" si="2"/>
        <v/>
      </c>
      <c r="D173" s="15" t="str">
        <f>IF(C173="","",VLOOKUP(C173,Tabela1[#All],2,0))</f>
        <v/>
      </c>
      <c r="F173" s="16" t="str" cm="1">
        <f t="array" ref="F173">IF(B173="","",(IF(B173="Compra de estoque","",(_xlfn.IFS(AND(B173="Venda de produtos",H173="Sul/Sudeste"),(VLOOKUP(C173,Tabela1[#All],9,0)*E173),AND(B173="Venda de produtos",H173="Nordeste"),(VLOOKUP(C173,Tabela1[#All],11,0)*E173),AND("Venda de produtos",H173="Norte/Centro-Oeste"),(VLOOKUP(C173,Tabela1[#All],13,0)*E173))))))</f>
        <v/>
      </c>
      <c r="G173" s="16" t="str">
        <f>IF(B173="Compra de estoque",VLOOKUP(C173,Tabela1[#All],4,0)*E173,"")</f>
        <v/>
      </c>
      <c r="H173" s="16"/>
    </row>
    <row r="174" spans="1:8" x14ac:dyDescent="0.25">
      <c r="A174" s="14" t="str">
        <f t="shared" ca="1" si="2"/>
        <v/>
      </c>
      <c r="D174" s="15" t="str">
        <f>IF(C174="","",VLOOKUP(C174,Tabela1[#All],2,0))</f>
        <v/>
      </c>
      <c r="F174" s="16" t="str" cm="1">
        <f t="array" ref="F174">IF(B174="","",(IF(B174="Compra de estoque","",(_xlfn.IFS(AND(B174="Venda de produtos",H174="Sul/Sudeste"),(VLOOKUP(C174,Tabela1[#All],9,0)*E174),AND(B174="Venda de produtos",H174="Nordeste"),(VLOOKUP(C174,Tabela1[#All],11,0)*E174),AND("Venda de produtos",H174="Norte/Centro-Oeste"),(VLOOKUP(C174,Tabela1[#All],13,0)*E174))))))</f>
        <v/>
      </c>
      <c r="G174" s="16" t="str">
        <f>IF(B174="Compra de estoque",VLOOKUP(C174,Tabela1[#All],4,0)*E174,"")</f>
        <v/>
      </c>
      <c r="H174" s="16"/>
    </row>
    <row r="175" spans="1:8" x14ac:dyDescent="0.25">
      <c r="A175" s="14" t="str">
        <f t="shared" ca="1" si="2"/>
        <v/>
      </c>
      <c r="D175" s="15" t="str">
        <f>IF(C175="","",VLOOKUP(C175,Tabela1[#All],2,0))</f>
        <v/>
      </c>
      <c r="F175" s="16" t="str" cm="1">
        <f t="array" ref="F175">IF(B175="","",(IF(B175="Compra de estoque","",(_xlfn.IFS(AND(B175="Venda de produtos",H175="Sul/Sudeste"),(VLOOKUP(C175,Tabela1[#All],9,0)*E175),AND(B175="Venda de produtos",H175="Nordeste"),(VLOOKUP(C175,Tabela1[#All],11,0)*E175),AND("Venda de produtos",H175="Norte/Centro-Oeste"),(VLOOKUP(C175,Tabela1[#All],13,0)*E175))))))</f>
        <v/>
      </c>
      <c r="G175" s="16" t="str">
        <f>IF(B175="Compra de estoque",VLOOKUP(C175,Tabela1[#All],4,0)*E175,"")</f>
        <v/>
      </c>
      <c r="H175" s="16"/>
    </row>
    <row r="176" spans="1:8" x14ac:dyDescent="0.25">
      <c r="A176" s="14" t="str">
        <f t="shared" ca="1" si="2"/>
        <v/>
      </c>
      <c r="D176" s="15" t="str">
        <f>IF(C176="","",VLOOKUP(C176,Tabela1[#All],2,0))</f>
        <v/>
      </c>
      <c r="F176" s="16" t="str" cm="1">
        <f t="array" ref="F176">IF(B176="","",(IF(B176="Compra de estoque","",(_xlfn.IFS(AND(B176="Venda de produtos",H176="Sul/Sudeste"),(VLOOKUP(C176,Tabela1[#All],9,0)*E176),AND(B176="Venda de produtos",H176="Nordeste"),(VLOOKUP(C176,Tabela1[#All],11,0)*E176),AND("Venda de produtos",H176="Norte/Centro-Oeste"),(VLOOKUP(C176,Tabela1[#All],13,0)*E176))))))</f>
        <v/>
      </c>
      <c r="G176" s="16" t="str">
        <f>IF(B176="Compra de estoque",VLOOKUP(C176,Tabela1[#All],4,0)*E176,"")</f>
        <v/>
      </c>
      <c r="H176" s="16"/>
    </row>
    <row r="177" spans="1:8" x14ac:dyDescent="0.25">
      <c r="A177" s="14" t="str">
        <f t="shared" ca="1" si="2"/>
        <v/>
      </c>
      <c r="D177" s="15" t="str">
        <f>IF(C177="","",VLOOKUP(C177,Tabela1[#All],2,0))</f>
        <v/>
      </c>
      <c r="F177" s="16" t="str" cm="1">
        <f t="array" ref="F177">IF(B177="","",(IF(B177="Compra de estoque","",(_xlfn.IFS(AND(B177="Venda de produtos",H177="Sul/Sudeste"),(VLOOKUP(C177,Tabela1[#All],9,0)*E177),AND(B177="Venda de produtos",H177="Nordeste"),(VLOOKUP(C177,Tabela1[#All],11,0)*E177),AND("Venda de produtos",H177="Norte/Centro-Oeste"),(VLOOKUP(C177,Tabela1[#All],13,0)*E177))))))</f>
        <v/>
      </c>
      <c r="G177" s="16" t="str">
        <f>IF(B177="Compra de estoque",VLOOKUP(C177,Tabela1[#All],4,0)*E177,"")</f>
        <v/>
      </c>
      <c r="H177" s="16"/>
    </row>
    <row r="178" spans="1:8" x14ac:dyDescent="0.25">
      <c r="A178" s="14" t="str">
        <f t="shared" ca="1" si="2"/>
        <v/>
      </c>
      <c r="D178" s="15" t="str">
        <f>IF(C178="","",VLOOKUP(C178,Tabela1[#All],2,0))</f>
        <v/>
      </c>
      <c r="F178" s="16" t="str" cm="1">
        <f t="array" ref="F178">IF(B178="","",(IF(B178="Compra de estoque","",(_xlfn.IFS(AND(B178="Venda de produtos",H178="Sul/Sudeste"),(VLOOKUP(C178,Tabela1[#All],9,0)*E178),AND(B178="Venda de produtos",H178="Nordeste"),(VLOOKUP(C178,Tabela1[#All],11,0)*E178),AND("Venda de produtos",H178="Norte/Centro-Oeste"),(VLOOKUP(C178,Tabela1[#All],13,0)*E178))))))</f>
        <v/>
      </c>
      <c r="G178" s="16" t="str">
        <f>IF(B178="Compra de estoque",VLOOKUP(C178,Tabela1[#All],4,0)*E178,"")</f>
        <v/>
      </c>
      <c r="H178" s="16"/>
    </row>
    <row r="179" spans="1:8" x14ac:dyDescent="0.25">
      <c r="A179" s="14" t="str">
        <f t="shared" ca="1" si="2"/>
        <v/>
      </c>
      <c r="D179" s="15" t="str">
        <f>IF(C179="","",VLOOKUP(C179,Tabela1[#All],2,0))</f>
        <v/>
      </c>
      <c r="F179" s="16" t="str" cm="1">
        <f t="array" ref="F179">IF(B179="","",(IF(B179="Compra de estoque","",(_xlfn.IFS(AND(B179="Venda de produtos",H179="Sul/Sudeste"),(VLOOKUP(C179,Tabela1[#All],9,0)*E179),AND(B179="Venda de produtos",H179="Nordeste"),(VLOOKUP(C179,Tabela1[#All],11,0)*E179),AND("Venda de produtos",H179="Norte/Centro-Oeste"),(VLOOKUP(C179,Tabela1[#All],13,0)*E179))))))</f>
        <v/>
      </c>
      <c r="G179" s="16" t="str">
        <f>IF(B179="Compra de estoque",VLOOKUP(C179,Tabela1[#All],4,0)*E179,"")</f>
        <v/>
      </c>
      <c r="H179" s="16"/>
    </row>
    <row r="180" spans="1:8" x14ac:dyDescent="0.25">
      <c r="A180" s="14" t="str">
        <f t="shared" ca="1" si="2"/>
        <v/>
      </c>
      <c r="D180" s="15" t="str">
        <f>IF(C180="","",VLOOKUP(C180,Tabela1[#All],2,0))</f>
        <v/>
      </c>
      <c r="F180" s="16" t="str" cm="1">
        <f t="array" ref="F180">IF(B180="","",(IF(B180="Compra de estoque","",(_xlfn.IFS(AND(B180="Venda de produtos",H180="Sul/Sudeste"),(VLOOKUP(C180,Tabela1[#All],9,0)*E180),AND(B180="Venda de produtos",H180="Nordeste"),(VLOOKUP(C180,Tabela1[#All],11,0)*E180),AND("Venda de produtos",H180="Norte/Centro-Oeste"),(VLOOKUP(C180,Tabela1[#All],13,0)*E180))))))</f>
        <v/>
      </c>
      <c r="G180" s="16" t="str">
        <f>IF(B180="Compra de estoque",VLOOKUP(C180,Tabela1[#All],4,0)*E180,"")</f>
        <v/>
      </c>
      <c r="H180" s="16"/>
    </row>
    <row r="181" spans="1:8" x14ac:dyDescent="0.25">
      <c r="A181" s="14" t="str">
        <f t="shared" ca="1" si="2"/>
        <v/>
      </c>
      <c r="D181" s="15" t="str">
        <f>IF(C181="","",VLOOKUP(C181,Tabela1[#All],2,0))</f>
        <v/>
      </c>
      <c r="F181" s="16" t="str" cm="1">
        <f t="array" ref="F181">IF(B181="","",(IF(B181="Compra de estoque","",(_xlfn.IFS(AND(B181="Venda de produtos",H181="Sul/Sudeste"),(VLOOKUP(C181,Tabela1[#All],9,0)*E181),AND(B181="Venda de produtos",H181="Nordeste"),(VLOOKUP(C181,Tabela1[#All],11,0)*E181),AND("Venda de produtos",H181="Norte/Centro-Oeste"),(VLOOKUP(C181,Tabela1[#All],13,0)*E181))))))</f>
        <v/>
      </c>
      <c r="G181" s="16" t="str">
        <f>IF(B181="Compra de estoque",VLOOKUP(C181,Tabela1[#All],4,0)*E181,"")</f>
        <v/>
      </c>
      <c r="H181" s="16"/>
    </row>
    <row r="182" spans="1:8" x14ac:dyDescent="0.25">
      <c r="A182" s="14" t="str">
        <f t="shared" ca="1" si="2"/>
        <v/>
      </c>
      <c r="D182" s="15" t="str">
        <f>IF(C182="","",VLOOKUP(C182,Tabela1[#All],2,0))</f>
        <v/>
      </c>
      <c r="F182" s="16" t="str" cm="1">
        <f t="array" ref="F182">IF(B182="","",(IF(B182="Compra de estoque","",(_xlfn.IFS(AND(B182="Venda de produtos",H182="Sul/Sudeste"),(VLOOKUP(C182,Tabela1[#All],9,0)*E182),AND(B182="Venda de produtos",H182="Nordeste"),(VLOOKUP(C182,Tabela1[#All],11,0)*E182),AND("Venda de produtos",H182="Norte/Centro-Oeste"),(VLOOKUP(C182,Tabela1[#All],13,0)*E182))))))</f>
        <v/>
      </c>
      <c r="G182" s="16" t="str">
        <f>IF(B182="Compra de estoque",VLOOKUP(C182,Tabela1[#All],4,0)*E182,"")</f>
        <v/>
      </c>
      <c r="H182" s="16"/>
    </row>
    <row r="183" spans="1:8" x14ac:dyDescent="0.25">
      <c r="A183" s="14" t="str">
        <f t="shared" ca="1" si="2"/>
        <v/>
      </c>
      <c r="D183" s="15" t="str">
        <f>IF(C183="","",VLOOKUP(C183,Tabela1[#All],2,0))</f>
        <v/>
      </c>
      <c r="F183" s="16" t="str" cm="1">
        <f t="array" ref="F183">IF(B183="","",(IF(B183="Compra de estoque","",(_xlfn.IFS(AND(B183="Venda de produtos",H183="Sul/Sudeste"),(VLOOKUP(C183,Tabela1[#All],9,0)*E183),AND(B183="Venda de produtos",H183="Nordeste"),(VLOOKUP(C183,Tabela1[#All],11,0)*E183),AND("Venda de produtos",H183="Norte/Centro-Oeste"),(VLOOKUP(C183,Tabela1[#All],13,0)*E183))))))</f>
        <v/>
      </c>
      <c r="G183" s="16" t="str">
        <f>IF(B183="Compra de estoque",VLOOKUP(C183,Tabela1[#All],4,0)*E183,"")</f>
        <v/>
      </c>
      <c r="H183" s="16"/>
    </row>
    <row r="184" spans="1:8" x14ac:dyDescent="0.25">
      <c r="A184" s="14" t="str">
        <f t="shared" ca="1" si="2"/>
        <v/>
      </c>
      <c r="D184" s="15" t="str">
        <f>IF(C184="","",VLOOKUP(C184,Tabela1[#All],2,0))</f>
        <v/>
      </c>
      <c r="F184" s="16" t="str" cm="1">
        <f t="array" ref="F184">IF(B184="","",(IF(B184="Compra de estoque","",(_xlfn.IFS(AND(B184="Venda de produtos",H184="Sul/Sudeste"),(VLOOKUP(C184,Tabela1[#All],9,0)*E184),AND(B184="Venda de produtos",H184="Nordeste"),(VLOOKUP(C184,Tabela1[#All],11,0)*E184),AND("Venda de produtos",H184="Norte/Centro-Oeste"),(VLOOKUP(C184,Tabela1[#All],13,0)*E184))))))</f>
        <v/>
      </c>
      <c r="G184" s="16" t="str">
        <f>IF(B184="Compra de estoque",VLOOKUP(C184,Tabela1[#All],4,0)*E184,"")</f>
        <v/>
      </c>
      <c r="H184" s="16"/>
    </row>
    <row r="185" spans="1:8" x14ac:dyDescent="0.25">
      <c r="A185" s="14" t="str">
        <f t="shared" ca="1" si="2"/>
        <v/>
      </c>
      <c r="D185" s="15" t="str">
        <f>IF(C185="","",VLOOKUP(C185,Tabela1[#All],2,0))</f>
        <v/>
      </c>
      <c r="F185" s="16" t="str" cm="1">
        <f t="array" ref="F185">IF(B185="","",(IF(B185="Compra de estoque","",(_xlfn.IFS(AND(B185="Venda de produtos",H185="Sul/Sudeste"),(VLOOKUP(C185,Tabela1[#All],9,0)*E185),AND(B185="Venda de produtos",H185="Nordeste"),(VLOOKUP(C185,Tabela1[#All],11,0)*E185),AND("Venda de produtos",H185="Norte/Centro-Oeste"),(VLOOKUP(C185,Tabela1[#All],13,0)*E185))))))</f>
        <v/>
      </c>
      <c r="G185" s="16" t="str">
        <f>IF(B185="Compra de estoque",VLOOKUP(C185,Tabela1[#All],4,0)*E185,"")</f>
        <v/>
      </c>
      <c r="H185" s="16"/>
    </row>
    <row r="186" spans="1:8" x14ac:dyDescent="0.25">
      <c r="A186" s="14" t="str">
        <f t="shared" ca="1" si="2"/>
        <v/>
      </c>
      <c r="D186" s="15" t="str">
        <f>IF(C186="","",VLOOKUP(C186,Tabela1[#All],2,0))</f>
        <v/>
      </c>
      <c r="F186" s="16" t="str" cm="1">
        <f t="array" ref="F186">IF(B186="","",(IF(B186="Compra de estoque","",(_xlfn.IFS(AND(B186="Venda de produtos",H186="Sul/Sudeste"),(VLOOKUP(C186,Tabela1[#All],9,0)*E186),AND(B186="Venda de produtos",H186="Nordeste"),(VLOOKUP(C186,Tabela1[#All],11,0)*E186),AND("Venda de produtos",H186="Norte/Centro-Oeste"),(VLOOKUP(C186,Tabela1[#All],13,0)*E186))))))</f>
        <v/>
      </c>
      <c r="G186" s="16" t="str">
        <f>IF(B186="Compra de estoque",VLOOKUP(C186,Tabela1[#All],4,0)*E186,"")</f>
        <v/>
      </c>
      <c r="H186" s="16"/>
    </row>
    <row r="187" spans="1:8" x14ac:dyDescent="0.25">
      <c r="A187" s="14" t="str">
        <f t="shared" ca="1" si="2"/>
        <v/>
      </c>
      <c r="D187" s="15" t="str">
        <f>IF(C187="","",VLOOKUP(C187,Tabela1[#All],2,0))</f>
        <v/>
      </c>
      <c r="F187" s="16" t="str" cm="1">
        <f t="array" ref="F187">IF(B187="","",(IF(B187="Compra de estoque","",(_xlfn.IFS(AND(B187="Venda de produtos",H187="Sul/Sudeste"),(VLOOKUP(C187,Tabela1[#All],9,0)*E187),AND(B187="Venda de produtos",H187="Nordeste"),(VLOOKUP(C187,Tabela1[#All],11,0)*E187),AND("Venda de produtos",H187="Norte/Centro-Oeste"),(VLOOKUP(C187,Tabela1[#All],13,0)*E187))))))</f>
        <v/>
      </c>
      <c r="G187" s="16" t="str">
        <f>IF(B187="Compra de estoque",VLOOKUP(C187,Tabela1[#All],4,0)*E187,"")</f>
        <v/>
      </c>
      <c r="H187" s="16"/>
    </row>
    <row r="188" spans="1:8" x14ac:dyDescent="0.25">
      <c r="A188" s="14" t="str">
        <f t="shared" ca="1" si="2"/>
        <v/>
      </c>
      <c r="D188" s="15" t="str">
        <f>IF(C188="","",VLOOKUP(C188,Tabela1[#All],2,0))</f>
        <v/>
      </c>
      <c r="F188" s="16" t="str" cm="1">
        <f t="array" ref="F188">IF(B188="","",(IF(B188="Compra de estoque","",(_xlfn.IFS(AND(B188="Venda de produtos",H188="Sul/Sudeste"),(VLOOKUP(C188,Tabela1[#All],9,0)*E188),AND(B188="Venda de produtos",H188="Nordeste"),(VLOOKUP(C188,Tabela1[#All],11,0)*E188),AND("Venda de produtos",H188="Norte/Centro-Oeste"),(VLOOKUP(C188,Tabela1[#All],13,0)*E188))))))</f>
        <v/>
      </c>
      <c r="G188" s="16" t="str">
        <f>IF(B188="Compra de estoque",VLOOKUP(C188,Tabela1[#All],4,0)*E188,"")</f>
        <v/>
      </c>
      <c r="H188" s="16"/>
    </row>
    <row r="189" spans="1:8" x14ac:dyDescent="0.25">
      <c r="A189" s="14" t="str">
        <f t="shared" ca="1" si="2"/>
        <v/>
      </c>
      <c r="D189" s="15" t="str">
        <f>IF(C189="","",VLOOKUP(C189,Tabela1[#All],2,0))</f>
        <v/>
      </c>
      <c r="F189" s="16" t="str" cm="1">
        <f t="array" ref="F189">IF(B189="","",(IF(B189="Compra de estoque","",(_xlfn.IFS(AND(B189="Venda de produtos",H189="Sul/Sudeste"),(VLOOKUP(C189,Tabela1[#All],9,0)*E189),AND(B189="Venda de produtos",H189="Nordeste"),(VLOOKUP(C189,Tabela1[#All],11,0)*E189),AND("Venda de produtos",H189="Norte/Centro-Oeste"),(VLOOKUP(C189,Tabela1[#All],13,0)*E189))))))</f>
        <v/>
      </c>
      <c r="G189" s="16" t="str">
        <f>IF(B189="Compra de estoque",VLOOKUP(C189,Tabela1[#All],4,0)*E189,"")</f>
        <v/>
      </c>
      <c r="H189" s="16"/>
    </row>
    <row r="190" spans="1:8" x14ac:dyDescent="0.25">
      <c r="A190" s="14" t="str">
        <f t="shared" ca="1" si="2"/>
        <v/>
      </c>
      <c r="D190" s="15" t="str">
        <f>IF(C190="","",VLOOKUP(C190,Tabela1[#All],2,0))</f>
        <v/>
      </c>
      <c r="F190" s="16" t="str" cm="1">
        <f t="array" ref="F190">IF(B190="","",(IF(B190="Compra de estoque","",(_xlfn.IFS(AND(B190="Venda de produtos",H190="Sul/Sudeste"),(VLOOKUP(C190,Tabela1[#All],9,0)*E190),AND(B190="Venda de produtos",H190="Nordeste"),(VLOOKUP(C190,Tabela1[#All],11,0)*E190),AND("Venda de produtos",H190="Norte/Centro-Oeste"),(VLOOKUP(C190,Tabela1[#All],13,0)*E190))))))</f>
        <v/>
      </c>
      <c r="G190" s="16" t="str">
        <f>IF(B190="Compra de estoque",VLOOKUP(C190,Tabela1[#All],4,0)*E190,"")</f>
        <v/>
      </c>
      <c r="H190" s="16"/>
    </row>
    <row r="191" spans="1:8" x14ac:dyDescent="0.25">
      <c r="A191" s="14" t="str">
        <f t="shared" ca="1" si="2"/>
        <v/>
      </c>
      <c r="D191" s="15" t="str">
        <f>IF(C191="","",VLOOKUP(C191,Tabela1[#All],2,0))</f>
        <v/>
      </c>
      <c r="F191" s="16" t="str" cm="1">
        <f t="array" ref="F191">IF(B191="","",(IF(B191="Compra de estoque","",(_xlfn.IFS(AND(B191="Venda de produtos",H191="Sul/Sudeste"),(VLOOKUP(C191,Tabela1[#All],9,0)*E191),AND(B191="Venda de produtos",H191="Nordeste"),(VLOOKUP(C191,Tabela1[#All],11,0)*E191),AND("Venda de produtos",H191="Norte/Centro-Oeste"),(VLOOKUP(C191,Tabela1[#All],13,0)*E191))))))</f>
        <v/>
      </c>
      <c r="G191" s="16" t="str">
        <f>IF(B191="Compra de estoque",VLOOKUP(C191,Tabela1[#All],4,0)*E191,"")</f>
        <v/>
      </c>
      <c r="H191" s="16"/>
    </row>
    <row r="192" spans="1:8" x14ac:dyDescent="0.25">
      <c r="A192" s="14" t="str">
        <f t="shared" ca="1" si="2"/>
        <v/>
      </c>
      <c r="D192" s="15" t="str">
        <f>IF(C192="","",VLOOKUP(C192,Tabela1[#All],2,0))</f>
        <v/>
      </c>
      <c r="F192" s="16" t="str" cm="1">
        <f t="array" ref="F192">IF(B192="","",(IF(B192="Compra de estoque","",(_xlfn.IFS(AND(B192="Venda de produtos",H192="Sul/Sudeste"),(VLOOKUP(C192,Tabela1[#All],9,0)*E192),AND(B192="Venda de produtos",H192="Nordeste"),(VLOOKUP(C192,Tabela1[#All],11,0)*E192),AND("Venda de produtos",H192="Norte/Centro-Oeste"),(VLOOKUP(C192,Tabela1[#All],13,0)*E192))))))</f>
        <v/>
      </c>
      <c r="G192" s="16" t="str">
        <f>IF(B192="Compra de estoque",VLOOKUP(C192,Tabela1[#All],4,0)*E192,"")</f>
        <v/>
      </c>
      <c r="H192" s="16"/>
    </row>
    <row r="193" spans="1:8" x14ac:dyDescent="0.25">
      <c r="A193" s="14" t="str">
        <f t="shared" ca="1" si="2"/>
        <v/>
      </c>
      <c r="D193" s="15" t="str">
        <f>IF(C193="","",VLOOKUP(C193,Tabela1[#All],2,0))</f>
        <v/>
      </c>
      <c r="F193" s="16" t="str" cm="1">
        <f t="array" ref="F193">IF(B193="","",(IF(B193="Compra de estoque","",(_xlfn.IFS(AND(B193="Venda de produtos",H193="Sul/Sudeste"),(VLOOKUP(C193,Tabela1[#All],9,0)*E193),AND(B193="Venda de produtos",H193="Nordeste"),(VLOOKUP(C193,Tabela1[#All],11,0)*E193),AND("Venda de produtos",H193="Norte/Centro-Oeste"),(VLOOKUP(C193,Tabela1[#All],13,0)*E193))))))</f>
        <v/>
      </c>
      <c r="G193" s="16" t="str">
        <f>IF(B193="Compra de estoque",VLOOKUP(C193,Tabela1[#All],4,0)*E193,"")</f>
        <v/>
      </c>
      <c r="H193" s="16"/>
    </row>
    <row r="194" spans="1:8" x14ac:dyDescent="0.25">
      <c r="A194" s="14" t="str">
        <f t="shared" ca="1" si="2"/>
        <v/>
      </c>
      <c r="D194" s="15" t="str">
        <f>IF(C194="","",VLOOKUP(C194,Tabela1[#All],2,0))</f>
        <v/>
      </c>
      <c r="F194" s="16" t="str" cm="1">
        <f t="array" ref="F194">IF(B194="","",(IF(B194="Compra de estoque","",(_xlfn.IFS(AND(B194="Venda de produtos",H194="Sul/Sudeste"),(VLOOKUP(C194,Tabela1[#All],9,0)*E194),AND(B194="Venda de produtos",H194="Nordeste"),(VLOOKUP(C194,Tabela1[#All],11,0)*E194),AND("Venda de produtos",H194="Norte/Centro-Oeste"),(VLOOKUP(C194,Tabela1[#All],13,0)*E194))))))</f>
        <v/>
      </c>
      <c r="G194" s="16" t="str">
        <f>IF(B194="Compra de estoque",VLOOKUP(C194,Tabela1[#All],4,0)*E194,"")</f>
        <v/>
      </c>
      <c r="H194" s="16"/>
    </row>
    <row r="195" spans="1:8" x14ac:dyDescent="0.25">
      <c r="A195" s="14" t="str">
        <f t="shared" ref="A195:A258" ca="1" si="3">IF(C195="","",NOW())</f>
        <v/>
      </c>
      <c r="D195" s="15" t="str">
        <f>IF(C195="","",VLOOKUP(C195,Tabela1[#All],2,0))</f>
        <v/>
      </c>
      <c r="F195" s="16" t="str" cm="1">
        <f t="array" ref="F195">IF(B195="","",(IF(B195="Compra de estoque","",(_xlfn.IFS(AND(B195="Venda de produtos",H195="Sul/Sudeste"),(VLOOKUP(C195,Tabela1[#All],9,0)*E195),AND(B195="Venda de produtos",H195="Nordeste"),(VLOOKUP(C195,Tabela1[#All],11,0)*E195),AND("Venda de produtos",H195="Norte/Centro-Oeste"),(VLOOKUP(C195,Tabela1[#All],13,0)*E195))))))</f>
        <v/>
      </c>
      <c r="G195" s="16" t="str">
        <f>IF(B195="Compra de estoque",VLOOKUP(C195,Tabela1[#All],4,0)*E195,"")</f>
        <v/>
      </c>
      <c r="H195" s="16"/>
    </row>
    <row r="196" spans="1:8" x14ac:dyDescent="0.25">
      <c r="A196" s="14" t="str">
        <f t="shared" ca="1" si="3"/>
        <v/>
      </c>
      <c r="D196" s="15" t="str">
        <f>IF(C196="","",VLOOKUP(C196,Tabela1[#All],2,0))</f>
        <v/>
      </c>
      <c r="F196" s="16" t="str" cm="1">
        <f t="array" ref="F196">IF(B196="","",(IF(B196="Compra de estoque","",(_xlfn.IFS(AND(B196="Venda de produtos",H196="Sul/Sudeste"),(VLOOKUP(C196,Tabela1[#All],9,0)*E196),AND(B196="Venda de produtos",H196="Nordeste"),(VLOOKUP(C196,Tabela1[#All],11,0)*E196),AND("Venda de produtos",H196="Norte/Centro-Oeste"),(VLOOKUP(C196,Tabela1[#All],13,0)*E196))))))</f>
        <v/>
      </c>
      <c r="G196" s="16" t="str">
        <f>IF(B196="Compra de estoque",VLOOKUP(C196,Tabela1[#All],4,0)*E196,"")</f>
        <v/>
      </c>
      <c r="H196" s="16"/>
    </row>
    <row r="197" spans="1:8" x14ac:dyDescent="0.25">
      <c r="A197" s="14" t="str">
        <f t="shared" ca="1" si="3"/>
        <v/>
      </c>
      <c r="D197" s="15" t="str">
        <f>IF(C197="","",VLOOKUP(C197,Tabela1[#All],2,0))</f>
        <v/>
      </c>
      <c r="F197" s="16" t="str" cm="1">
        <f t="array" ref="F197">IF(B197="","",(IF(B197="Compra de estoque","",(_xlfn.IFS(AND(B197="Venda de produtos",H197="Sul/Sudeste"),(VLOOKUP(C197,Tabela1[#All],9,0)*E197),AND(B197="Venda de produtos",H197="Nordeste"),(VLOOKUP(C197,Tabela1[#All],11,0)*E197),AND("Venda de produtos",H197="Norte/Centro-Oeste"),(VLOOKUP(C197,Tabela1[#All],13,0)*E197))))))</f>
        <v/>
      </c>
      <c r="G197" s="16" t="str">
        <f>IF(B197="Compra de estoque",VLOOKUP(C197,Tabela1[#All],4,0)*E197,"")</f>
        <v/>
      </c>
      <c r="H197" s="16"/>
    </row>
    <row r="198" spans="1:8" x14ac:dyDescent="0.25">
      <c r="A198" s="14" t="str">
        <f t="shared" ca="1" si="3"/>
        <v/>
      </c>
      <c r="D198" s="15" t="str">
        <f>IF(C198="","",VLOOKUP(C198,Tabela1[#All],2,0))</f>
        <v/>
      </c>
      <c r="F198" s="16" t="str" cm="1">
        <f t="array" ref="F198">IF(B198="","",(IF(B198="Compra de estoque","",(_xlfn.IFS(AND(B198="Venda de produtos",H198="Sul/Sudeste"),(VLOOKUP(C198,Tabela1[#All],9,0)*E198),AND(B198="Venda de produtos",H198="Nordeste"),(VLOOKUP(C198,Tabela1[#All],11,0)*E198),AND("Venda de produtos",H198="Norte/Centro-Oeste"),(VLOOKUP(C198,Tabela1[#All],13,0)*E198))))))</f>
        <v/>
      </c>
      <c r="G198" s="16" t="str">
        <f>IF(B198="Compra de estoque",VLOOKUP(C198,Tabela1[#All],4,0)*E198,"")</f>
        <v/>
      </c>
      <c r="H198" s="16"/>
    </row>
    <row r="199" spans="1:8" x14ac:dyDescent="0.25">
      <c r="A199" s="14" t="str">
        <f t="shared" ca="1" si="3"/>
        <v/>
      </c>
      <c r="D199" s="15" t="str">
        <f>IF(C199="","",VLOOKUP(C199,Tabela1[#All],2,0))</f>
        <v/>
      </c>
      <c r="F199" s="16" t="str" cm="1">
        <f t="array" ref="F199">IF(B199="","",(IF(B199="Compra de estoque","",(_xlfn.IFS(AND(B199="Venda de produtos",H199="Sul/Sudeste"),(VLOOKUP(C199,Tabela1[#All],9,0)*E199),AND(B199="Venda de produtos",H199="Nordeste"),(VLOOKUP(C199,Tabela1[#All],11,0)*E199),AND("Venda de produtos",H199="Norte/Centro-Oeste"),(VLOOKUP(C199,Tabela1[#All],13,0)*E199))))))</f>
        <v/>
      </c>
      <c r="G199" s="16" t="str">
        <f>IF(B199="Compra de estoque",VLOOKUP(C199,Tabela1[#All],4,0)*E199,"")</f>
        <v/>
      </c>
      <c r="H199" s="16"/>
    </row>
    <row r="200" spans="1:8" x14ac:dyDescent="0.25">
      <c r="A200" s="14" t="str">
        <f t="shared" ca="1" si="3"/>
        <v/>
      </c>
      <c r="D200" s="15" t="str">
        <f>IF(C200="","",VLOOKUP(C200,Tabela1[#All],2,0))</f>
        <v/>
      </c>
      <c r="F200" s="16" t="str" cm="1">
        <f t="array" ref="F200">IF(B200="","",(IF(B200="Compra de estoque","",(_xlfn.IFS(AND(B200="Venda de produtos",H200="Sul/Sudeste"),(VLOOKUP(C200,Tabela1[#All],9,0)*E200),AND(B200="Venda de produtos",H200="Nordeste"),(VLOOKUP(C200,Tabela1[#All],11,0)*E200),AND("Venda de produtos",H200="Norte/Centro-Oeste"),(VLOOKUP(C200,Tabela1[#All],13,0)*E200))))))</f>
        <v/>
      </c>
      <c r="G200" s="16" t="str">
        <f>IF(B200="Compra de estoque",VLOOKUP(C200,Tabela1[#All],4,0)*E200,"")</f>
        <v/>
      </c>
      <c r="H200" s="16"/>
    </row>
    <row r="201" spans="1:8" x14ac:dyDescent="0.25">
      <c r="A201" s="14" t="str">
        <f t="shared" ca="1" si="3"/>
        <v/>
      </c>
      <c r="D201" s="15" t="str">
        <f>IF(C201="","",VLOOKUP(C201,Tabela1[#All],2,0))</f>
        <v/>
      </c>
      <c r="F201" s="16" t="str" cm="1">
        <f t="array" ref="F201">IF(B201="","",(IF(B201="Compra de estoque","",(_xlfn.IFS(AND(B201="Venda de produtos",H201="Sul/Sudeste"),(VLOOKUP(C201,Tabela1[#All],9,0)*E201),AND(B201="Venda de produtos",H201="Nordeste"),(VLOOKUP(C201,Tabela1[#All],11,0)*E201),AND("Venda de produtos",H201="Norte/Centro-Oeste"),(VLOOKUP(C201,Tabela1[#All],13,0)*E201))))))</f>
        <v/>
      </c>
      <c r="G201" s="16" t="str">
        <f>IF(B201="Compra de estoque",VLOOKUP(C201,Tabela1[#All],4,0)*E201,"")</f>
        <v/>
      </c>
      <c r="H201" s="16"/>
    </row>
    <row r="202" spans="1:8" x14ac:dyDescent="0.25">
      <c r="A202" s="14" t="str">
        <f t="shared" ca="1" si="3"/>
        <v/>
      </c>
      <c r="D202" s="15" t="str">
        <f>IF(C202="","",VLOOKUP(C202,Tabela1[#All],2,0))</f>
        <v/>
      </c>
      <c r="F202" s="16" t="str" cm="1">
        <f t="array" ref="F202">IF(B202="","",(IF(B202="Compra de estoque","",(_xlfn.IFS(AND(B202="Venda de produtos",H202="Sul/Sudeste"),(VLOOKUP(C202,Tabela1[#All],9,0)*E202),AND(B202="Venda de produtos",H202="Nordeste"),(VLOOKUP(C202,Tabela1[#All],11,0)*E202),AND("Venda de produtos",H202="Norte/Centro-Oeste"),(VLOOKUP(C202,Tabela1[#All],13,0)*E202))))))</f>
        <v/>
      </c>
      <c r="G202" s="16" t="str">
        <f>IF(B202="Compra de estoque",VLOOKUP(C202,Tabela1[#All],4,0)*E202,"")</f>
        <v/>
      </c>
      <c r="H202" s="16"/>
    </row>
    <row r="203" spans="1:8" x14ac:dyDescent="0.25">
      <c r="A203" s="14" t="str">
        <f t="shared" ca="1" si="3"/>
        <v/>
      </c>
      <c r="D203" s="15" t="str">
        <f>IF(C203="","",VLOOKUP(C203,Tabela1[#All],2,0))</f>
        <v/>
      </c>
      <c r="F203" s="16" t="str" cm="1">
        <f t="array" ref="F203">IF(B203="","",(IF(B203="Compra de estoque","",(_xlfn.IFS(AND(B203="Venda de produtos",H203="Sul/Sudeste"),(VLOOKUP(C203,Tabela1[#All],9,0)*E203),AND(B203="Venda de produtos",H203="Nordeste"),(VLOOKUP(C203,Tabela1[#All],11,0)*E203),AND("Venda de produtos",H203="Norte/Centro-Oeste"),(VLOOKUP(C203,Tabela1[#All],13,0)*E203))))))</f>
        <v/>
      </c>
      <c r="G203" s="16" t="str">
        <f>IF(B203="Compra de estoque",VLOOKUP(C203,Tabela1[#All],4,0)*E203,"")</f>
        <v/>
      </c>
      <c r="H203" s="16"/>
    </row>
    <row r="204" spans="1:8" x14ac:dyDescent="0.25">
      <c r="A204" s="14" t="str">
        <f t="shared" ca="1" si="3"/>
        <v/>
      </c>
      <c r="D204" s="15" t="str">
        <f>IF(C204="","",VLOOKUP(C204,Tabela1[#All],2,0))</f>
        <v/>
      </c>
      <c r="F204" s="16" t="str" cm="1">
        <f t="array" ref="F204">IF(B204="","",(IF(B204="Compra de estoque","",(_xlfn.IFS(AND(B204="Venda de produtos",H204="Sul/Sudeste"),(VLOOKUP(C204,Tabela1[#All],9,0)*E204),AND(B204="Venda de produtos",H204="Nordeste"),(VLOOKUP(C204,Tabela1[#All],11,0)*E204),AND("Venda de produtos",H204="Norte/Centro-Oeste"),(VLOOKUP(C204,Tabela1[#All],13,0)*E204))))))</f>
        <v/>
      </c>
      <c r="G204" s="16" t="str">
        <f>IF(B204="Compra de estoque",VLOOKUP(C204,Tabela1[#All],4,0)*E204,"")</f>
        <v/>
      </c>
      <c r="H204" s="16"/>
    </row>
    <row r="205" spans="1:8" x14ac:dyDescent="0.25">
      <c r="A205" s="14" t="str">
        <f t="shared" ca="1" si="3"/>
        <v/>
      </c>
      <c r="D205" s="15" t="str">
        <f>IF(C205="","",VLOOKUP(C205,Tabela1[#All],2,0))</f>
        <v/>
      </c>
      <c r="F205" s="16" t="str" cm="1">
        <f t="array" ref="F205">IF(B205="","",(IF(B205="Compra de estoque","",(_xlfn.IFS(AND(B205="Venda de produtos",H205="Sul/Sudeste"),(VLOOKUP(C205,Tabela1[#All],9,0)*E205),AND(B205="Venda de produtos",H205="Nordeste"),(VLOOKUP(C205,Tabela1[#All],11,0)*E205),AND("Venda de produtos",H205="Norte/Centro-Oeste"),(VLOOKUP(C205,Tabela1[#All],13,0)*E205))))))</f>
        <v/>
      </c>
      <c r="G205" s="16" t="str">
        <f>IF(B205="Compra de estoque",VLOOKUP(C205,Tabela1[#All],4,0)*E205,"")</f>
        <v/>
      </c>
      <c r="H205" s="16"/>
    </row>
    <row r="206" spans="1:8" x14ac:dyDescent="0.25">
      <c r="A206" s="14" t="str">
        <f t="shared" ca="1" si="3"/>
        <v/>
      </c>
      <c r="D206" s="15" t="str">
        <f>IF(C206="","",VLOOKUP(C206,Tabela1[#All],2,0))</f>
        <v/>
      </c>
      <c r="F206" s="16" t="str" cm="1">
        <f t="array" ref="F206">IF(B206="","",(IF(B206="Compra de estoque","",(_xlfn.IFS(AND(B206="Venda de produtos",H206="Sul/Sudeste"),(VLOOKUP(C206,Tabela1[#All],9,0)*E206),AND(B206="Venda de produtos",H206="Nordeste"),(VLOOKUP(C206,Tabela1[#All],11,0)*E206),AND("Venda de produtos",H206="Norte/Centro-Oeste"),(VLOOKUP(C206,Tabela1[#All],13,0)*E206))))))</f>
        <v/>
      </c>
      <c r="G206" s="16" t="str">
        <f>IF(B206="Compra de estoque",VLOOKUP(C206,Tabela1[#All],4,0)*E206,"")</f>
        <v/>
      </c>
      <c r="H206" s="16"/>
    </row>
    <row r="207" spans="1:8" x14ac:dyDescent="0.25">
      <c r="A207" s="14" t="str">
        <f t="shared" ca="1" si="3"/>
        <v/>
      </c>
      <c r="D207" s="15" t="str">
        <f>IF(C207="","",VLOOKUP(C207,Tabela1[#All],2,0))</f>
        <v/>
      </c>
      <c r="F207" s="16" t="str" cm="1">
        <f t="array" ref="F207">IF(B207="","",(IF(B207="Compra de estoque","",(_xlfn.IFS(AND(B207="Venda de produtos",H207="Sul/Sudeste"),(VLOOKUP(C207,Tabela1[#All],9,0)*E207),AND(B207="Venda de produtos",H207="Nordeste"),(VLOOKUP(C207,Tabela1[#All],11,0)*E207),AND("Venda de produtos",H207="Norte/Centro-Oeste"),(VLOOKUP(C207,Tabela1[#All],13,0)*E207))))))</f>
        <v/>
      </c>
      <c r="G207" s="16" t="str">
        <f>IF(B207="Compra de estoque",VLOOKUP(C207,Tabela1[#All],4,0)*E207,"")</f>
        <v/>
      </c>
      <c r="H207" s="16"/>
    </row>
    <row r="208" spans="1:8" x14ac:dyDescent="0.25">
      <c r="A208" s="14" t="str">
        <f t="shared" ca="1" si="3"/>
        <v/>
      </c>
      <c r="D208" s="15" t="str">
        <f>IF(C208="","",VLOOKUP(C208,Tabela1[#All],2,0))</f>
        <v/>
      </c>
      <c r="F208" s="16" t="str" cm="1">
        <f t="array" ref="F208">IF(B208="","",(IF(B208="Compra de estoque","",(_xlfn.IFS(AND(B208="Venda de produtos",H208="Sul/Sudeste"),(VLOOKUP(C208,Tabela1[#All],9,0)*E208),AND(B208="Venda de produtos",H208="Nordeste"),(VLOOKUP(C208,Tabela1[#All],11,0)*E208),AND("Venda de produtos",H208="Norte/Centro-Oeste"),(VLOOKUP(C208,Tabela1[#All],13,0)*E208))))))</f>
        <v/>
      </c>
      <c r="G208" s="16" t="str">
        <f>IF(B208="Compra de estoque",VLOOKUP(C208,Tabela1[#All],4,0)*E208,"")</f>
        <v/>
      </c>
      <c r="H208" s="16"/>
    </row>
    <row r="209" spans="1:8" x14ac:dyDescent="0.25">
      <c r="A209" s="14" t="str">
        <f t="shared" ca="1" si="3"/>
        <v/>
      </c>
      <c r="D209" s="15" t="str">
        <f>IF(C209="","",VLOOKUP(C209,Tabela1[#All],2,0))</f>
        <v/>
      </c>
      <c r="F209" s="16" t="str" cm="1">
        <f t="array" ref="F209">IF(B209="","",(IF(B209="Compra de estoque","",(_xlfn.IFS(AND(B209="Venda de produtos",H209="Sul/Sudeste"),(VLOOKUP(C209,Tabela1[#All],9,0)*E209),AND(B209="Venda de produtos",H209="Nordeste"),(VLOOKUP(C209,Tabela1[#All],11,0)*E209),AND("Venda de produtos",H209="Norte/Centro-Oeste"),(VLOOKUP(C209,Tabela1[#All],13,0)*E209))))))</f>
        <v/>
      </c>
      <c r="G209" s="16" t="str">
        <f>IF(B209="Compra de estoque",VLOOKUP(C209,Tabela1[#All],4,0)*E209,"")</f>
        <v/>
      </c>
      <c r="H209" s="16"/>
    </row>
    <row r="210" spans="1:8" x14ac:dyDescent="0.25">
      <c r="A210" s="14" t="str">
        <f t="shared" ca="1" si="3"/>
        <v/>
      </c>
      <c r="D210" s="15" t="str">
        <f>IF(C210="","",VLOOKUP(C210,Tabela1[#All],2,0))</f>
        <v/>
      </c>
      <c r="F210" s="16" t="str" cm="1">
        <f t="array" ref="F210">IF(B210="","",(IF(B210="Compra de estoque","",(_xlfn.IFS(AND(B210="Venda de produtos",H210="Sul/Sudeste"),(VLOOKUP(C210,Tabela1[#All],9,0)*E210),AND(B210="Venda de produtos",H210="Nordeste"),(VLOOKUP(C210,Tabela1[#All],11,0)*E210),AND("Venda de produtos",H210="Norte/Centro-Oeste"),(VLOOKUP(C210,Tabela1[#All],13,0)*E210))))))</f>
        <v/>
      </c>
      <c r="G210" s="16" t="str">
        <f>IF(B210="Compra de estoque",VLOOKUP(C210,Tabela1[#All],4,0)*E210,"")</f>
        <v/>
      </c>
      <c r="H210" s="16"/>
    </row>
    <row r="211" spans="1:8" x14ac:dyDescent="0.25">
      <c r="A211" s="14" t="str">
        <f t="shared" ca="1" si="3"/>
        <v/>
      </c>
      <c r="D211" s="15" t="str">
        <f>IF(C211="","",VLOOKUP(C211,Tabela1[#All],2,0))</f>
        <v/>
      </c>
      <c r="F211" s="16" t="str" cm="1">
        <f t="array" ref="F211">IF(B211="","",(IF(B211="Compra de estoque","",(_xlfn.IFS(AND(B211="Venda de produtos",H211="Sul/Sudeste"),(VLOOKUP(C211,Tabela1[#All],9,0)*E211),AND(B211="Venda de produtos",H211="Nordeste"),(VLOOKUP(C211,Tabela1[#All],11,0)*E211),AND("Venda de produtos",H211="Norte/Centro-Oeste"),(VLOOKUP(C211,Tabela1[#All],13,0)*E211))))))</f>
        <v/>
      </c>
      <c r="G211" s="16" t="str">
        <f>IF(B211="Compra de estoque",VLOOKUP(C211,Tabela1[#All],4,0)*E211,"")</f>
        <v/>
      </c>
      <c r="H211" s="16"/>
    </row>
    <row r="212" spans="1:8" x14ac:dyDescent="0.25">
      <c r="A212" s="14" t="str">
        <f t="shared" ca="1" si="3"/>
        <v/>
      </c>
      <c r="D212" s="15" t="str">
        <f>IF(C212="","",VLOOKUP(C212,Tabela1[#All],2,0))</f>
        <v/>
      </c>
      <c r="F212" s="16" t="str" cm="1">
        <f t="array" ref="F212">IF(B212="","",(IF(B212="Compra de estoque","",(_xlfn.IFS(AND(B212="Venda de produtos",H212="Sul/Sudeste"),(VLOOKUP(C212,Tabela1[#All],9,0)*E212),AND(B212="Venda de produtos",H212="Nordeste"),(VLOOKUP(C212,Tabela1[#All],11,0)*E212),AND("Venda de produtos",H212="Norte/Centro-Oeste"),(VLOOKUP(C212,Tabela1[#All],13,0)*E212))))))</f>
        <v/>
      </c>
      <c r="G212" s="16" t="str">
        <f>IF(B212="Compra de estoque",VLOOKUP(C212,Tabela1[#All],4,0)*E212,"")</f>
        <v/>
      </c>
      <c r="H212" s="16"/>
    </row>
    <row r="213" spans="1:8" x14ac:dyDescent="0.25">
      <c r="A213" s="14" t="str">
        <f t="shared" ca="1" si="3"/>
        <v/>
      </c>
      <c r="D213" s="15" t="str">
        <f>IF(C213="","",VLOOKUP(C213,Tabela1[#All],2,0))</f>
        <v/>
      </c>
      <c r="F213" s="16" t="str" cm="1">
        <f t="array" ref="F213">IF(B213="","",(IF(B213="Compra de estoque","",(_xlfn.IFS(AND(B213="Venda de produtos",H213="Sul/Sudeste"),(VLOOKUP(C213,Tabela1[#All],9,0)*E213),AND(B213="Venda de produtos",H213="Nordeste"),(VLOOKUP(C213,Tabela1[#All],11,0)*E213),AND("Venda de produtos",H213="Norte/Centro-Oeste"),(VLOOKUP(C213,Tabela1[#All],13,0)*E213))))))</f>
        <v/>
      </c>
      <c r="G213" s="16" t="str">
        <f>IF(B213="Compra de estoque",VLOOKUP(C213,Tabela1[#All],4,0)*E213,"")</f>
        <v/>
      </c>
      <c r="H213" s="16"/>
    </row>
    <row r="214" spans="1:8" x14ac:dyDescent="0.25">
      <c r="A214" s="14" t="str">
        <f t="shared" ca="1" si="3"/>
        <v/>
      </c>
      <c r="D214" s="15" t="str">
        <f>IF(C214="","",VLOOKUP(C214,Tabela1[#All],2,0))</f>
        <v/>
      </c>
      <c r="F214" s="16" t="str" cm="1">
        <f t="array" ref="F214">IF(B214="","",(IF(B214="Compra de estoque","",(_xlfn.IFS(AND(B214="Venda de produtos",H214="Sul/Sudeste"),(VLOOKUP(C214,Tabela1[#All],9,0)*E214),AND(B214="Venda de produtos",H214="Nordeste"),(VLOOKUP(C214,Tabela1[#All],11,0)*E214),AND("Venda de produtos",H214="Norte/Centro-Oeste"),(VLOOKUP(C214,Tabela1[#All],13,0)*E214))))))</f>
        <v/>
      </c>
      <c r="G214" s="16" t="str">
        <f>IF(B214="Compra de estoque",VLOOKUP(C214,Tabela1[#All],4,0)*E214,"")</f>
        <v/>
      </c>
      <c r="H214" s="16"/>
    </row>
    <row r="215" spans="1:8" x14ac:dyDescent="0.25">
      <c r="A215" s="14" t="str">
        <f t="shared" ca="1" si="3"/>
        <v/>
      </c>
      <c r="D215" s="15" t="str">
        <f>IF(C215="","",VLOOKUP(C215,Tabela1[#All],2,0))</f>
        <v/>
      </c>
      <c r="F215" s="16" t="str" cm="1">
        <f t="array" ref="F215">IF(B215="","",(IF(B215="Compra de estoque","",(_xlfn.IFS(AND(B215="Venda de produtos",H215="Sul/Sudeste"),(VLOOKUP(C215,Tabela1[#All],9,0)*E215),AND(B215="Venda de produtos",H215="Nordeste"),(VLOOKUP(C215,Tabela1[#All],11,0)*E215),AND("Venda de produtos",H215="Norte/Centro-Oeste"),(VLOOKUP(C215,Tabela1[#All],13,0)*E215))))))</f>
        <v/>
      </c>
      <c r="G215" s="16" t="str">
        <f>IF(B215="Compra de estoque",VLOOKUP(C215,Tabela1[#All],4,0)*E215,"")</f>
        <v/>
      </c>
      <c r="H215" s="16"/>
    </row>
    <row r="216" spans="1:8" x14ac:dyDescent="0.25">
      <c r="A216" s="14" t="str">
        <f t="shared" ca="1" si="3"/>
        <v/>
      </c>
      <c r="D216" s="15" t="str">
        <f>IF(C216="","",VLOOKUP(C216,Tabela1[#All],2,0))</f>
        <v/>
      </c>
      <c r="F216" s="16" t="str" cm="1">
        <f t="array" ref="F216">IF(B216="","",(IF(B216="Compra de estoque","",(_xlfn.IFS(AND(B216="Venda de produtos",H216="Sul/Sudeste"),(VLOOKUP(C216,Tabela1[#All],9,0)*E216),AND(B216="Venda de produtos",H216="Nordeste"),(VLOOKUP(C216,Tabela1[#All],11,0)*E216),AND("Venda de produtos",H216="Norte/Centro-Oeste"),(VLOOKUP(C216,Tabela1[#All],13,0)*E216))))))</f>
        <v/>
      </c>
      <c r="G216" s="16" t="str">
        <f>IF(B216="Compra de estoque",VLOOKUP(C216,Tabela1[#All],4,0)*E216,"")</f>
        <v/>
      </c>
      <c r="H216" s="16"/>
    </row>
    <row r="217" spans="1:8" x14ac:dyDescent="0.25">
      <c r="A217" s="14" t="str">
        <f t="shared" ca="1" si="3"/>
        <v/>
      </c>
      <c r="D217" s="15" t="str">
        <f>IF(C217="","",VLOOKUP(C217,Tabela1[#All],2,0))</f>
        <v/>
      </c>
      <c r="F217" s="16" t="str" cm="1">
        <f t="array" ref="F217">IF(B217="","",(IF(B217="Compra de estoque","",(_xlfn.IFS(AND(B217="Venda de produtos",H217="Sul/Sudeste"),(VLOOKUP(C217,Tabela1[#All],9,0)*E217),AND(B217="Venda de produtos",H217="Nordeste"),(VLOOKUP(C217,Tabela1[#All],11,0)*E217),AND("Venda de produtos",H217="Norte/Centro-Oeste"),(VLOOKUP(C217,Tabela1[#All],13,0)*E217))))))</f>
        <v/>
      </c>
      <c r="G217" s="16" t="str">
        <f>IF(B217="Compra de estoque",VLOOKUP(C217,Tabela1[#All],4,0)*E217,"")</f>
        <v/>
      </c>
      <c r="H217" s="16"/>
    </row>
    <row r="218" spans="1:8" x14ac:dyDescent="0.25">
      <c r="A218" s="14" t="str">
        <f t="shared" ca="1" si="3"/>
        <v/>
      </c>
      <c r="D218" s="15" t="str">
        <f>IF(C218="","",VLOOKUP(C218,Tabela1[#All],2,0))</f>
        <v/>
      </c>
      <c r="F218" s="16" t="str" cm="1">
        <f t="array" ref="F218">IF(B218="","",(IF(B218="Compra de estoque","",(_xlfn.IFS(AND(B218="Venda de produtos",H218="Sul/Sudeste"),(VLOOKUP(C218,Tabela1[#All],9,0)*E218),AND(B218="Venda de produtos",H218="Nordeste"),(VLOOKUP(C218,Tabela1[#All],11,0)*E218),AND("Venda de produtos",H218="Norte/Centro-Oeste"),(VLOOKUP(C218,Tabela1[#All],13,0)*E218))))))</f>
        <v/>
      </c>
      <c r="G218" s="16" t="str">
        <f>IF(B218="Compra de estoque",VLOOKUP(C218,Tabela1[#All],4,0)*E218,"")</f>
        <v/>
      </c>
      <c r="H218" s="16"/>
    </row>
    <row r="219" spans="1:8" x14ac:dyDescent="0.25">
      <c r="A219" s="14" t="str">
        <f t="shared" ca="1" si="3"/>
        <v/>
      </c>
      <c r="D219" s="15" t="str">
        <f>IF(C219="","",VLOOKUP(C219,Tabela1[#All],2,0))</f>
        <v/>
      </c>
      <c r="F219" s="16" t="str" cm="1">
        <f t="array" ref="F219">IF(B219="","",(IF(B219="Compra de estoque","",(_xlfn.IFS(AND(B219="Venda de produtos",H219="Sul/Sudeste"),(VLOOKUP(C219,Tabela1[#All],9,0)*E219),AND(B219="Venda de produtos",H219="Nordeste"),(VLOOKUP(C219,Tabela1[#All],11,0)*E219),AND("Venda de produtos",H219="Norte/Centro-Oeste"),(VLOOKUP(C219,Tabela1[#All],13,0)*E219))))))</f>
        <v/>
      </c>
      <c r="G219" s="16" t="str">
        <f>IF(B219="Compra de estoque",VLOOKUP(C219,Tabela1[#All],4,0)*E219,"")</f>
        <v/>
      </c>
      <c r="H219" s="16"/>
    </row>
    <row r="220" spans="1:8" x14ac:dyDescent="0.25">
      <c r="A220" s="14" t="str">
        <f t="shared" ca="1" si="3"/>
        <v/>
      </c>
      <c r="D220" s="15" t="str">
        <f>IF(C220="","",VLOOKUP(C220,Tabela1[#All],2,0))</f>
        <v/>
      </c>
      <c r="F220" s="16" t="str" cm="1">
        <f t="array" ref="F220">IF(B220="","",(IF(B220="Compra de estoque","",(_xlfn.IFS(AND(B220="Venda de produtos",H220="Sul/Sudeste"),(VLOOKUP(C220,Tabela1[#All],9,0)*E220),AND(B220="Venda de produtos",H220="Nordeste"),(VLOOKUP(C220,Tabela1[#All],11,0)*E220),AND("Venda de produtos",H220="Norte/Centro-Oeste"),(VLOOKUP(C220,Tabela1[#All],13,0)*E220))))))</f>
        <v/>
      </c>
      <c r="G220" s="16" t="str">
        <f>IF(B220="Compra de estoque",VLOOKUP(C220,Tabela1[#All],4,0)*E220,"")</f>
        <v/>
      </c>
      <c r="H220" s="16"/>
    </row>
    <row r="221" spans="1:8" x14ac:dyDescent="0.25">
      <c r="A221" s="14" t="str">
        <f t="shared" ca="1" si="3"/>
        <v/>
      </c>
      <c r="D221" s="15" t="str">
        <f>IF(C221="","",VLOOKUP(C221,Tabela1[#All],2,0))</f>
        <v/>
      </c>
      <c r="F221" s="16" t="str" cm="1">
        <f t="array" ref="F221">IF(B221="","",(IF(B221="Compra de estoque","",(_xlfn.IFS(AND(B221="Venda de produtos",H221="Sul/Sudeste"),(VLOOKUP(C221,Tabela1[#All],9,0)*E221),AND(B221="Venda de produtos",H221="Nordeste"),(VLOOKUP(C221,Tabela1[#All],11,0)*E221),AND("Venda de produtos",H221="Norte/Centro-Oeste"),(VLOOKUP(C221,Tabela1[#All],13,0)*E221))))))</f>
        <v/>
      </c>
      <c r="G221" s="16" t="str">
        <f>IF(B221="Compra de estoque",VLOOKUP(C221,Tabela1[#All],4,0)*E221,"")</f>
        <v/>
      </c>
      <c r="H221" s="16"/>
    </row>
    <row r="222" spans="1:8" x14ac:dyDescent="0.25">
      <c r="A222" s="14" t="str">
        <f t="shared" ca="1" si="3"/>
        <v/>
      </c>
      <c r="D222" s="15" t="str">
        <f>IF(C222="","",VLOOKUP(C222,Tabela1[#All],2,0))</f>
        <v/>
      </c>
      <c r="F222" s="16" t="str" cm="1">
        <f t="array" ref="F222">IF(B222="","",(IF(B222="Compra de estoque","",(_xlfn.IFS(AND(B222="Venda de produtos",H222="Sul/Sudeste"),(VLOOKUP(C222,Tabela1[#All],9,0)*E222),AND(B222="Venda de produtos",H222="Nordeste"),(VLOOKUP(C222,Tabela1[#All],11,0)*E222),AND("Venda de produtos",H222="Norte/Centro-Oeste"),(VLOOKUP(C222,Tabela1[#All],13,0)*E222))))))</f>
        <v/>
      </c>
      <c r="G222" s="16" t="str">
        <f>IF(B222="Compra de estoque",VLOOKUP(C222,Tabela1[#All],4,0)*E222,"")</f>
        <v/>
      </c>
      <c r="H222" s="16"/>
    </row>
    <row r="223" spans="1:8" x14ac:dyDescent="0.25">
      <c r="A223" s="14" t="str">
        <f t="shared" ca="1" si="3"/>
        <v/>
      </c>
      <c r="D223" s="15" t="str">
        <f>IF(C223="","",VLOOKUP(C223,Tabela1[#All],2,0))</f>
        <v/>
      </c>
      <c r="F223" s="16" t="str" cm="1">
        <f t="array" ref="F223">IF(B223="","",(IF(B223="Compra de estoque","",(_xlfn.IFS(AND(B223="Venda de produtos",H223="Sul/Sudeste"),(VLOOKUP(C223,Tabela1[#All],9,0)*E223),AND(B223="Venda de produtos",H223="Nordeste"),(VLOOKUP(C223,Tabela1[#All],11,0)*E223),AND("Venda de produtos",H223="Norte/Centro-Oeste"),(VLOOKUP(C223,Tabela1[#All],13,0)*E223))))))</f>
        <v/>
      </c>
      <c r="G223" s="16" t="str">
        <f>IF(B223="Compra de estoque",VLOOKUP(C223,Tabela1[#All],4,0)*E223,"")</f>
        <v/>
      </c>
      <c r="H223" s="16"/>
    </row>
    <row r="224" spans="1:8" x14ac:dyDescent="0.25">
      <c r="A224" s="14" t="str">
        <f t="shared" ca="1" si="3"/>
        <v/>
      </c>
      <c r="D224" s="15" t="str">
        <f>IF(C224="","",VLOOKUP(C224,Tabela1[#All],2,0))</f>
        <v/>
      </c>
      <c r="F224" s="16" t="str" cm="1">
        <f t="array" ref="F224">IF(B224="","",(IF(B224="Compra de estoque","",(_xlfn.IFS(AND(B224="Venda de produtos",H224="Sul/Sudeste"),(VLOOKUP(C224,Tabela1[#All],9,0)*E224),AND(B224="Venda de produtos",H224="Nordeste"),(VLOOKUP(C224,Tabela1[#All],11,0)*E224),AND("Venda de produtos",H224="Norte/Centro-Oeste"),(VLOOKUP(C224,Tabela1[#All],13,0)*E224))))))</f>
        <v/>
      </c>
      <c r="G224" s="16" t="str">
        <f>IF(B224="Compra de estoque",VLOOKUP(C224,Tabela1[#All],4,0)*E224,"")</f>
        <v/>
      </c>
      <c r="H224" s="16"/>
    </row>
    <row r="225" spans="1:8" x14ac:dyDescent="0.25">
      <c r="A225" s="14" t="str">
        <f t="shared" ca="1" si="3"/>
        <v/>
      </c>
      <c r="D225" s="15" t="str">
        <f>IF(C225="","",VLOOKUP(C225,Tabela1[#All],2,0))</f>
        <v/>
      </c>
      <c r="F225" s="16" t="str" cm="1">
        <f t="array" ref="F225">IF(B225="","",(IF(B225="Compra de estoque","",(_xlfn.IFS(AND(B225="Venda de produtos",H225="Sul/Sudeste"),(VLOOKUP(C225,Tabela1[#All],9,0)*E225),AND(B225="Venda de produtos",H225="Nordeste"),(VLOOKUP(C225,Tabela1[#All],11,0)*E225),AND("Venda de produtos",H225="Norte/Centro-Oeste"),(VLOOKUP(C225,Tabela1[#All],13,0)*E225))))))</f>
        <v/>
      </c>
      <c r="G225" s="16" t="str">
        <f>IF(B225="Compra de estoque",VLOOKUP(C225,Tabela1[#All],4,0)*E225,"")</f>
        <v/>
      </c>
      <c r="H225" s="16"/>
    </row>
    <row r="226" spans="1:8" x14ac:dyDescent="0.25">
      <c r="A226" s="14" t="str">
        <f t="shared" ca="1" si="3"/>
        <v/>
      </c>
      <c r="D226" s="15" t="str">
        <f>IF(C226="","",VLOOKUP(C226,Tabela1[#All],2,0))</f>
        <v/>
      </c>
      <c r="F226" s="16" t="str" cm="1">
        <f t="array" ref="F226">IF(B226="","",(IF(B226="Compra de estoque","",(_xlfn.IFS(AND(B226="Venda de produtos",H226="Sul/Sudeste"),(VLOOKUP(C226,Tabela1[#All],9,0)*E226),AND(B226="Venda de produtos",H226="Nordeste"),(VLOOKUP(C226,Tabela1[#All],11,0)*E226),AND("Venda de produtos",H226="Norte/Centro-Oeste"),(VLOOKUP(C226,Tabela1[#All],13,0)*E226))))))</f>
        <v/>
      </c>
      <c r="G226" s="16" t="str">
        <f>IF(B226="Compra de estoque",VLOOKUP(C226,Tabela1[#All],4,0)*E226,"")</f>
        <v/>
      </c>
      <c r="H226" s="16"/>
    </row>
    <row r="227" spans="1:8" x14ac:dyDescent="0.25">
      <c r="A227" s="14" t="str">
        <f t="shared" ca="1" si="3"/>
        <v/>
      </c>
      <c r="D227" s="15" t="str">
        <f>IF(C227="","",VLOOKUP(C227,Tabela1[#All],2,0))</f>
        <v/>
      </c>
      <c r="F227" s="16" t="str" cm="1">
        <f t="array" ref="F227">IF(B227="","",(IF(B227="Compra de estoque","",(_xlfn.IFS(AND(B227="Venda de produtos",H227="Sul/Sudeste"),(VLOOKUP(C227,Tabela1[#All],9,0)*E227),AND(B227="Venda de produtos",H227="Nordeste"),(VLOOKUP(C227,Tabela1[#All],11,0)*E227),AND("Venda de produtos",H227="Norte/Centro-Oeste"),(VLOOKUP(C227,Tabela1[#All],13,0)*E227))))))</f>
        <v/>
      </c>
      <c r="G227" s="16" t="str">
        <f>IF(B227="Compra de estoque",VLOOKUP(C227,Tabela1[#All],4,0)*E227,"")</f>
        <v/>
      </c>
      <c r="H227" s="16"/>
    </row>
    <row r="228" spans="1:8" x14ac:dyDescent="0.25">
      <c r="A228" s="14" t="str">
        <f t="shared" ca="1" si="3"/>
        <v/>
      </c>
      <c r="D228" s="15" t="str">
        <f>IF(C228="","",VLOOKUP(C228,Tabela1[#All],2,0))</f>
        <v/>
      </c>
      <c r="F228" s="16" t="str" cm="1">
        <f t="array" ref="F228">IF(B228="","",(IF(B228="Compra de estoque","",(_xlfn.IFS(AND(B228="Venda de produtos",H228="Sul/Sudeste"),(VLOOKUP(C228,Tabela1[#All],9,0)*E228),AND(B228="Venda de produtos",H228="Nordeste"),(VLOOKUP(C228,Tabela1[#All],11,0)*E228),AND("Venda de produtos",H228="Norte/Centro-Oeste"),(VLOOKUP(C228,Tabela1[#All],13,0)*E228))))))</f>
        <v/>
      </c>
      <c r="G228" s="16" t="str">
        <f>IF(B228="Compra de estoque",VLOOKUP(C228,Tabela1[#All],4,0)*E228,"")</f>
        <v/>
      </c>
      <c r="H228" s="16"/>
    </row>
    <row r="229" spans="1:8" x14ac:dyDescent="0.25">
      <c r="A229" s="14" t="str">
        <f t="shared" ca="1" si="3"/>
        <v/>
      </c>
      <c r="D229" s="15" t="str">
        <f>IF(C229="","",VLOOKUP(C229,Tabela1[#All],2,0))</f>
        <v/>
      </c>
      <c r="F229" s="16" t="str" cm="1">
        <f t="array" ref="F229">IF(B229="","",(IF(B229="Compra de estoque","",(_xlfn.IFS(AND(B229="Venda de produtos",H229="Sul/Sudeste"),(VLOOKUP(C229,Tabela1[#All],9,0)*E229),AND(B229="Venda de produtos",H229="Nordeste"),(VLOOKUP(C229,Tabela1[#All],11,0)*E229),AND("Venda de produtos",H229="Norte/Centro-Oeste"),(VLOOKUP(C229,Tabela1[#All],13,0)*E229))))))</f>
        <v/>
      </c>
      <c r="G229" s="16" t="str">
        <f>IF(B229="Compra de estoque",VLOOKUP(C229,Tabela1[#All],4,0)*E229,"")</f>
        <v/>
      </c>
      <c r="H229" s="16"/>
    </row>
    <row r="230" spans="1:8" x14ac:dyDescent="0.25">
      <c r="A230" s="14" t="str">
        <f t="shared" ca="1" si="3"/>
        <v/>
      </c>
      <c r="D230" s="15" t="str">
        <f>IF(C230="","",VLOOKUP(C230,Tabela1[#All],2,0))</f>
        <v/>
      </c>
      <c r="F230" s="16" t="str" cm="1">
        <f t="array" ref="F230">IF(B230="","",(IF(B230="Compra de estoque","",(_xlfn.IFS(AND(B230="Venda de produtos",H230="Sul/Sudeste"),(VLOOKUP(C230,Tabela1[#All],9,0)*E230),AND(B230="Venda de produtos",H230="Nordeste"),(VLOOKUP(C230,Tabela1[#All],11,0)*E230),AND("Venda de produtos",H230="Norte/Centro-Oeste"),(VLOOKUP(C230,Tabela1[#All],13,0)*E230))))))</f>
        <v/>
      </c>
      <c r="G230" s="16" t="str">
        <f>IF(B230="Compra de estoque",VLOOKUP(C230,Tabela1[#All],4,0)*E230,"")</f>
        <v/>
      </c>
      <c r="H230" s="16"/>
    </row>
    <row r="231" spans="1:8" x14ac:dyDescent="0.25">
      <c r="A231" s="14" t="str">
        <f t="shared" ca="1" si="3"/>
        <v/>
      </c>
      <c r="D231" s="15" t="str">
        <f>IF(C231="","",VLOOKUP(C231,Tabela1[#All],2,0))</f>
        <v/>
      </c>
      <c r="F231" s="16" t="str" cm="1">
        <f t="array" ref="F231">IF(B231="","",(IF(B231="Compra de estoque","",(_xlfn.IFS(AND(B231="Venda de produtos",H231="Sul/Sudeste"),(VLOOKUP(C231,Tabela1[#All],9,0)*E231),AND(B231="Venda de produtos",H231="Nordeste"),(VLOOKUP(C231,Tabela1[#All],11,0)*E231),AND("Venda de produtos",H231="Norte/Centro-Oeste"),(VLOOKUP(C231,Tabela1[#All],13,0)*E231))))))</f>
        <v/>
      </c>
      <c r="G231" s="16" t="str">
        <f>IF(B231="Compra de estoque",VLOOKUP(C231,Tabela1[#All],4,0)*E231,"")</f>
        <v/>
      </c>
      <c r="H231" s="16"/>
    </row>
    <row r="232" spans="1:8" x14ac:dyDescent="0.25">
      <c r="A232" s="14" t="str">
        <f t="shared" ca="1" si="3"/>
        <v/>
      </c>
      <c r="D232" s="15" t="str">
        <f>IF(C232="","",VLOOKUP(C232,Tabela1[#All],2,0))</f>
        <v/>
      </c>
      <c r="F232" s="16" t="str" cm="1">
        <f t="array" ref="F232">IF(B232="","",(IF(B232="Compra de estoque","",(_xlfn.IFS(AND(B232="Venda de produtos",H232="Sul/Sudeste"),(VLOOKUP(C232,Tabela1[#All],9,0)*E232),AND(B232="Venda de produtos",H232="Nordeste"),(VLOOKUP(C232,Tabela1[#All],11,0)*E232),AND("Venda de produtos",H232="Norte/Centro-Oeste"),(VLOOKUP(C232,Tabela1[#All],13,0)*E232))))))</f>
        <v/>
      </c>
      <c r="G232" s="16" t="str">
        <f>IF(B232="Compra de estoque",VLOOKUP(C232,Tabela1[#All],4,0)*E232,"")</f>
        <v/>
      </c>
      <c r="H232" s="16"/>
    </row>
    <row r="233" spans="1:8" x14ac:dyDescent="0.25">
      <c r="A233" s="14" t="str">
        <f t="shared" ca="1" si="3"/>
        <v/>
      </c>
      <c r="D233" s="15" t="str">
        <f>IF(C233="","",VLOOKUP(C233,Tabela1[#All],2,0))</f>
        <v/>
      </c>
      <c r="F233" s="16" t="str" cm="1">
        <f t="array" ref="F233">IF(B233="","",(IF(B233="Compra de estoque","",(_xlfn.IFS(AND(B233="Venda de produtos",H233="Sul/Sudeste"),(VLOOKUP(C233,Tabela1[#All],9,0)*E233),AND(B233="Venda de produtos",H233="Nordeste"),(VLOOKUP(C233,Tabela1[#All],11,0)*E233),AND("Venda de produtos",H233="Norte/Centro-Oeste"),(VLOOKUP(C233,Tabela1[#All],13,0)*E233))))))</f>
        <v/>
      </c>
      <c r="G233" s="16" t="str">
        <f>IF(B233="Compra de estoque",VLOOKUP(C233,Tabela1[#All],4,0)*E233,"")</f>
        <v/>
      </c>
      <c r="H233" s="16"/>
    </row>
    <row r="234" spans="1:8" x14ac:dyDescent="0.25">
      <c r="A234" s="14" t="str">
        <f t="shared" ca="1" si="3"/>
        <v/>
      </c>
      <c r="D234" s="15" t="str">
        <f>IF(C234="","",VLOOKUP(C234,Tabela1[#All],2,0))</f>
        <v/>
      </c>
      <c r="F234" s="16" t="str" cm="1">
        <f t="array" ref="F234">IF(B234="","",(IF(B234="Compra de estoque","",(_xlfn.IFS(AND(B234="Venda de produtos",H234="Sul/Sudeste"),(VLOOKUP(C234,Tabela1[#All],9,0)*E234),AND(B234="Venda de produtos",H234="Nordeste"),(VLOOKUP(C234,Tabela1[#All],11,0)*E234),AND("Venda de produtos",H234="Norte/Centro-Oeste"),(VLOOKUP(C234,Tabela1[#All],13,0)*E234))))))</f>
        <v/>
      </c>
      <c r="G234" s="16" t="str">
        <f>IF(B234="Compra de estoque",VLOOKUP(C234,Tabela1[#All],4,0)*E234,"")</f>
        <v/>
      </c>
      <c r="H234" s="16"/>
    </row>
    <row r="235" spans="1:8" x14ac:dyDescent="0.25">
      <c r="A235" s="14" t="str">
        <f t="shared" ca="1" si="3"/>
        <v/>
      </c>
      <c r="D235" s="15" t="str">
        <f>IF(C235="","",VLOOKUP(C235,Tabela1[#All],2,0))</f>
        <v/>
      </c>
      <c r="F235" s="16" t="str" cm="1">
        <f t="array" ref="F235">IF(B235="","",(IF(B235="Compra de estoque","",(_xlfn.IFS(AND(B235="Venda de produtos",H235="Sul/Sudeste"),(VLOOKUP(C235,Tabela1[#All],9,0)*E235),AND(B235="Venda de produtos",H235="Nordeste"),(VLOOKUP(C235,Tabela1[#All],11,0)*E235),AND("Venda de produtos",H235="Norte/Centro-Oeste"),(VLOOKUP(C235,Tabela1[#All],13,0)*E235))))))</f>
        <v/>
      </c>
      <c r="G235" s="16" t="str">
        <f>IF(B235="Compra de estoque",VLOOKUP(C235,Tabela1[#All],4,0)*E235,"")</f>
        <v/>
      </c>
      <c r="H235" s="16"/>
    </row>
    <row r="236" spans="1:8" x14ac:dyDescent="0.25">
      <c r="A236" s="14" t="str">
        <f t="shared" ca="1" si="3"/>
        <v/>
      </c>
      <c r="D236" s="15" t="str">
        <f>IF(C236="","",VLOOKUP(C236,Tabela1[#All],2,0))</f>
        <v/>
      </c>
      <c r="F236" s="16" t="str" cm="1">
        <f t="array" ref="F236">IF(B236="","",(IF(B236="Compra de estoque","",(_xlfn.IFS(AND(B236="Venda de produtos",H236="Sul/Sudeste"),(VLOOKUP(C236,Tabela1[#All],9,0)*E236),AND(B236="Venda de produtos",H236="Nordeste"),(VLOOKUP(C236,Tabela1[#All],11,0)*E236),AND("Venda de produtos",H236="Norte/Centro-Oeste"),(VLOOKUP(C236,Tabela1[#All],13,0)*E236))))))</f>
        <v/>
      </c>
      <c r="G236" s="16" t="str">
        <f>IF(B236="Compra de estoque",VLOOKUP(C236,Tabela1[#All],4,0)*E236,"")</f>
        <v/>
      </c>
      <c r="H236" s="16"/>
    </row>
    <row r="237" spans="1:8" x14ac:dyDescent="0.25">
      <c r="A237" s="14" t="str">
        <f t="shared" ca="1" si="3"/>
        <v/>
      </c>
      <c r="D237" s="15" t="str">
        <f>IF(C237="","",VLOOKUP(C237,Tabela1[#All],2,0))</f>
        <v/>
      </c>
      <c r="F237" s="16" t="str" cm="1">
        <f t="array" ref="F237">IF(B237="","",(IF(B237="Compra de estoque","",(_xlfn.IFS(AND(B237="Venda de produtos",H237="Sul/Sudeste"),(VLOOKUP(C237,Tabela1[#All],9,0)*E237),AND(B237="Venda de produtos",H237="Nordeste"),(VLOOKUP(C237,Tabela1[#All],11,0)*E237),AND("Venda de produtos",H237="Norte/Centro-Oeste"),(VLOOKUP(C237,Tabela1[#All],13,0)*E237))))))</f>
        <v/>
      </c>
      <c r="G237" s="16" t="str">
        <f>IF(B237="Compra de estoque",VLOOKUP(C237,Tabela1[#All],4,0)*E237,"")</f>
        <v/>
      </c>
      <c r="H237" s="16"/>
    </row>
    <row r="238" spans="1:8" x14ac:dyDescent="0.25">
      <c r="A238" s="14" t="str">
        <f t="shared" ca="1" si="3"/>
        <v/>
      </c>
      <c r="D238" s="15" t="str">
        <f>IF(C238="","",VLOOKUP(C238,Tabela1[#All],2,0))</f>
        <v/>
      </c>
      <c r="F238" s="16" t="str" cm="1">
        <f t="array" ref="F238">IF(B238="","",(IF(B238="Compra de estoque","",(_xlfn.IFS(AND(B238="Venda de produtos",H238="Sul/Sudeste"),(VLOOKUP(C238,Tabela1[#All],9,0)*E238),AND(B238="Venda de produtos",H238="Nordeste"),(VLOOKUP(C238,Tabela1[#All],11,0)*E238),AND("Venda de produtos",H238="Norte/Centro-Oeste"),(VLOOKUP(C238,Tabela1[#All],13,0)*E238))))))</f>
        <v/>
      </c>
      <c r="G238" s="16" t="str">
        <f>IF(B238="Compra de estoque",VLOOKUP(C238,Tabela1[#All],4,0)*E238,"")</f>
        <v/>
      </c>
      <c r="H238" s="16"/>
    </row>
    <row r="239" spans="1:8" x14ac:dyDescent="0.25">
      <c r="A239" s="14" t="str">
        <f t="shared" ca="1" si="3"/>
        <v/>
      </c>
      <c r="D239" s="15" t="str">
        <f>IF(C239="","",VLOOKUP(C239,Tabela1[#All],2,0))</f>
        <v/>
      </c>
      <c r="F239" s="16" t="str" cm="1">
        <f t="array" ref="F239">IF(B239="","",(IF(B239="Compra de estoque","",(_xlfn.IFS(AND(B239="Venda de produtos",H239="Sul/Sudeste"),(VLOOKUP(C239,Tabela1[#All],9,0)*E239),AND(B239="Venda de produtos",H239="Nordeste"),(VLOOKUP(C239,Tabela1[#All],11,0)*E239),AND("Venda de produtos",H239="Norte/Centro-Oeste"),(VLOOKUP(C239,Tabela1[#All],13,0)*E239))))))</f>
        <v/>
      </c>
      <c r="G239" s="16" t="str">
        <f>IF(B239="Compra de estoque",VLOOKUP(C239,Tabela1[#All],4,0)*E239,"")</f>
        <v/>
      </c>
      <c r="H239" s="16"/>
    </row>
    <row r="240" spans="1:8" x14ac:dyDescent="0.25">
      <c r="A240" s="14" t="str">
        <f t="shared" ca="1" si="3"/>
        <v/>
      </c>
      <c r="D240" s="15" t="str">
        <f>IF(C240="","",VLOOKUP(C240,Tabela1[#All],2,0))</f>
        <v/>
      </c>
      <c r="F240" s="16" t="str" cm="1">
        <f t="array" ref="F240">IF(B240="","",(IF(B240="Compra de estoque","",(_xlfn.IFS(AND(B240="Venda de produtos",H240="Sul/Sudeste"),(VLOOKUP(C240,Tabela1[#All],9,0)*E240),AND(B240="Venda de produtos",H240="Nordeste"),(VLOOKUP(C240,Tabela1[#All],11,0)*E240),AND("Venda de produtos",H240="Norte/Centro-Oeste"),(VLOOKUP(C240,Tabela1[#All],13,0)*E240))))))</f>
        <v/>
      </c>
      <c r="G240" s="16" t="str">
        <f>IF(B240="Compra de estoque",VLOOKUP(C240,Tabela1[#All],4,0)*E240,"")</f>
        <v/>
      </c>
      <c r="H240" s="16"/>
    </row>
    <row r="241" spans="1:8" x14ac:dyDescent="0.25">
      <c r="A241" s="14" t="str">
        <f t="shared" ca="1" si="3"/>
        <v/>
      </c>
      <c r="D241" s="15" t="str">
        <f>IF(C241="","",VLOOKUP(C241,Tabela1[#All],2,0))</f>
        <v/>
      </c>
      <c r="F241" s="16" t="str" cm="1">
        <f t="array" ref="F241">IF(B241="","",(IF(B241="Compra de estoque","",(_xlfn.IFS(AND(B241="Venda de produtos",H241="Sul/Sudeste"),(VLOOKUP(C241,Tabela1[#All],9,0)*E241),AND(B241="Venda de produtos",H241="Nordeste"),(VLOOKUP(C241,Tabela1[#All],11,0)*E241),AND("Venda de produtos",H241="Norte/Centro-Oeste"),(VLOOKUP(C241,Tabela1[#All],13,0)*E241))))))</f>
        <v/>
      </c>
      <c r="G241" s="16" t="str">
        <f>IF(B241="Compra de estoque",VLOOKUP(C241,Tabela1[#All],4,0)*E241,"")</f>
        <v/>
      </c>
      <c r="H241" s="16"/>
    </row>
    <row r="242" spans="1:8" x14ac:dyDescent="0.25">
      <c r="A242" s="14" t="str">
        <f t="shared" ca="1" si="3"/>
        <v/>
      </c>
      <c r="D242" s="15" t="str">
        <f>IF(C242="","",VLOOKUP(C242,Tabela1[#All],2,0))</f>
        <v/>
      </c>
      <c r="F242" s="16" t="str" cm="1">
        <f t="array" ref="F242">IF(B242="","",(IF(B242="Compra de estoque","",(_xlfn.IFS(AND(B242="Venda de produtos",H242="Sul/Sudeste"),(VLOOKUP(C242,Tabela1[#All],9,0)*E242),AND(B242="Venda de produtos",H242="Nordeste"),(VLOOKUP(C242,Tabela1[#All],11,0)*E242),AND("Venda de produtos",H242="Norte/Centro-Oeste"),(VLOOKUP(C242,Tabela1[#All],13,0)*E242))))))</f>
        <v/>
      </c>
      <c r="G242" s="16" t="str">
        <f>IF(B242="Compra de estoque",VLOOKUP(C242,Tabela1[#All],4,0)*E242,"")</f>
        <v/>
      </c>
      <c r="H242" s="16"/>
    </row>
    <row r="243" spans="1:8" x14ac:dyDescent="0.25">
      <c r="A243" s="14" t="str">
        <f t="shared" ca="1" si="3"/>
        <v/>
      </c>
      <c r="D243" s="15" t="str">
        <f>IF(C243="","",VLOOKUP(C243,Tabela1[#All],2,0))</f>
        <v/>
      </c>
      <c r="F243" s="16" t="str" cm="1">
        <f t="array" ref="F243">IF(B243="","",(IF(B243="Compra de estoque","",(_xlfn.IFS(AND(B243="Venda de produtos",H243="Sul/Sudeste"),(VLOOKUP(C243,Tabela1[#All],9,0)*E243),AND(B243="Venda de produtos",H243="Nordeste"),(VLOOKUP(C243,Tabela1[#All],11,0)*E243),AND("Venda de produtos",H243="Norte/Centro-Oeste"),(VLOOKUP(C243,Tabela1[#All],13,0)*E243))))))</f>
        <v/>
      </c>
      <c r="G243" s="16" t="str">
        <f>IF(B243="Compra de estoque",VLOOKUP(C243,Tabela1[#All],4,0)*E243,"")</f>
        <v/>
      </c>
      <c r="H243" s="16"/>
    </row>
    <row r="244" spans="1:8" x14ac:dyDescent="0.25">
      <c r="A244" s="14" t="str">
        <f t="shared" ca="1" si="3"/>
        <v/>
      </c>
      <c r="D244" s="15" t="str">
        <f>IF(C244="","",VLOOKUP(C244,Tabela1[#All],2,0))</f>
        <v/>
      </c>
      <c r="F244" s="16" t="str" cm="1">
        <f t="array" ref="F244">IF(B244="","",(IF(B244="Compra de estoque","",(_xlfn.IFS(AND(B244="Venda de produtos",H244="Sul/Sudeste"),(VLOOKUP(C244,Tabela1[#All],9,0)*E244),AND(B244="Venda de produtos",H244="Nordeste"),(VLOOKUP(C244,Tabela1[#All],11,0)*E244),AND("Venda de produtos",H244="Norte/Centro-Oeste"),(VLOOKUP(C244,Tabela1[#All],13,0)*E244))))))</f>
        <v/>
      </c>
      <c r="G244" s="16" t="str">
        <f>IF(B244="Compra de estoque",VLOOKUP(C244,Tabela1[#All],4,0)*E244,"")</f>
        <v/>
      </c>
      <c r="H244" s="16"/>
    </row>
    <row r="245" spans="1:8" x14ac:dyDescent="0.25">
      <c r="A245" s="14" t="str">
        <f t="shared" ca="1" si="3"/>
        <v/>
      </c>
      <c r="D245" s="15" t="str">
        <f>IF(C245="","",VLOOKUP(C245,Tabela1[#All],2,0))</f>
        <v/>
      </c>
      <c r="F245" s="16" t="str" cm="1">
        <f t="array" ref="F245">IF(B245="","",(IF(B245="Compra de estoque","",(_xlfn.IFS(AND(B245="Venda de produtos",H245="Sul/Sudeste"),(VLOOKUP(C245,Tabela1[#All],9,0)*E245),AND(B245="Venda de produtos",H245="Nordeste"),(VLOOKUP(C245,Tabela1[#All],11,0)*E245),AND("Venda de produtos",H245="Norte/Centro-Oeste"),(VLOOKUP(C245,Tabela1[#All],13,0)*E245))))))</f>
        <v/>
      </c>
      <c r="G245" s="16" t="str">
        <f>IF(B245="Compra de estoque",VLOOKUP(C245,Tabela1[#All],4,0)*E245,"")</f>
        <v/>
      </c>
      <c r="H245" s="16"/>
    </row>
    <row r="246" spans="1:8" x14ac:dyDescent="0.25">
      <c r="A246" s="14" t="str">
        <f t="shared" ca="1" si="3"/>
        <v/>
      </c>
      <c r="D246" s="15" t="str">
        <f>IF(C246="","",VLOOKUP(C246,Tabela1[#All],2,0))</f>
        <v/>
      </c>
      <c r="F246" s="16" t="str" cm="1">
        <f t="array" ref="F246">IF(B246="","",(IF(B246="Compra de estoque","",(_xlfn.IFS(AND(B246="Venda de produtos",H246="Sul/Sudeste"),(VLOOKUP(C246,Tabela1[#All],9,0)*E246),AND(B246="Venda de produtos",H246="Nordeste"),(VLOOKUP(C246,Tabela1[#All],11,0)*E246),AND("Venda de produtos",H246="Norte/Centro-Oeste"),(VLOOKUP(C246,Tabela1[#All],13,0)*E246))))))</f>
        <v/>
      </c>
      <c r="G246" s="16" t="str">
        <f>IF(B246="Compra de estoque",VLOOKUP(C246,Tabela1[#All],4,0)*E246,"")</f>
        <v/>
      </c>
      <c r="H246" s="16"/>
    </row>
    <row r="247" spans="1:8" x14ac:dyDescent="0.25">
      <c r="A247" s="14" t="str">
        <f t="shared" ca="1" si="3"/>
        <v/>
      </c>
      <c r="D247" s="15" t="str">
        <f>IF(C247="","",VLOOKUP(C247,Tabela1[#All],2,0))</f>
        <v/>
      </c>
      <c r="F247" s="16" t="str" cm="1">
        <f t="array" ref="F247">IF(B247="","",(IF(B247="Compra de estoque","",(_xlfn.IFS(AND(B247="Venda de produtos",H247="Sul/Sudeste"),(VLOOKUP(C247,Tabela1[#All],9,0)*E247),AND(B247="Venda de produtos",H247="Nordeste"),(VLOOKUP(C247,Tabela1[#All],11,0)*E247),AND("Venda de produtos",H247="Norte/Centro-Oeste"),(VLOOKUP(C247,Tabela1[#All],13,0)*E247))))))</f>
        <v/>
      </c>
      <c r="G247" s="16" t="str">
        <f>IF(B247="Compra de estoque",VLOOKUP(C247,Tabela1[#All],4,0)*E247,"")</f>
        <v/>
      </c>
      <c r="H247" s="16"/>
    </row>
    <row r="248" spans="1:8" x14ac:dyDescent="0.25">
      <c r="A248" s="14" t="str">
        <f t="shared" ca="1" si="3"/>
        <v/>
      </c>
      <c r="D248" s="15" t="str">
        <f>IF(C248="","",VLOOKUP(C248,Tabela1[#All],2,0))</f>
        <v/>
      </c>
      <c r="F248" s="16" t="str" cm="1">
        <f t="array" ref="F248">IF(B248="","",(IF(B248="Compra de estoque","",(_xlfn.IFS(AND(B248="Venda de produtos",H248="Sul/Sudeste"),(VLOOKUP(C248,Tabela1[#All],9,0)*E248),AND(B248="Venda de produtos",H248="Nordeste"),(VLOOKUP(C248,Tabela1[#All],11,0)*E248),AND("Venda de produtos",H248="Norte/Centro-Oeste"),(VLOOKUP(C248,Tabela1[#All],13,0)*E248))))))</f>
        <v/>
      </c>
      <c r="G248" s="16" t="str">
        <f>IF(B248="Compra de estoque",VLOOKUP(C248,Tabela1[#All],4,0)*E248,"")</f>
        <v/>
      </c>
      <c r="H248" s="16"/>
    </row>
    <row r="249" spans="1:8" x14ac:dyDescent="0.25">
      <c r="A249" s="14" t="str">
        <f t="shared" ca="1" si="3"/>
        <v/>
      </c>
      <c r="D249" s="15" t="str">
        <f>IF(C249="","",VLOOKUP(C249,Tabela1[#All],2,0))</f>
        <v/>
      </c>
      <c r="F249" s="16" t="str" cm="1">
        <f t="array" ref="F249">IF(B249="","",(IF(B249="Compra de estoque","",(_xlfn.IFS(AND(B249="Venda de produtos",H249="Sul/Sudeste"),(VLOOKUP(C249,Tabela1[#All],9,0)*E249),AND(B249="Venda de produtos",H249="Nordeste"),(VLOOKUP(C249,Tabela1[#All],11,0)*E249),AND("Venda de produtos",H249="Norte/Centro-Oeste"),(VLOOKUP(C249,Tabela1[#All],13,0)*E249))))))</f>
        <v/>
      </c>
      <c r="G249" s="16" t="str">
        <f>IF(B249="Compra de estoque",VLOOKUP(C249,Tabela1[#All],4,0)*E249,"")</f>
        <v/>
      </c>
      <c r="H249" s="16"/>
    </row>
    <row r="250" spans="1:8" x14ac:dyDescent="0.25">
      <c r="A250" s="14" t="str">
        <f t="shared" ca="1" si="3"/>
        <v/>
      </c>
      <c r="D250" s="15" t="str">
        <f>IF(C250="","",VLOOKUP(C250,Tabela1[#All],2,0))</f>
        <v/>
      </c>
      <c r="F250" s="16" t="str" cm="1">
        <f t="array" ref="F250">IF(B250="","",(IF(B250="Compra de estoque","",(_xlfn.IFS(AND(B250="Venda de produtos",H250="Sul/Sudeste"),(VLOOKUP(C250,Tabela1[#All],9,0)*E250),AND(B250="Venda de produtos",H250="Nordeste"),(VLOOKUP(C250,Tabela1[#All],11,0)*E250),AND("Venda de produtos",H250="Norte/Centro-Oeste"),(VLOOKUP(C250,Tabela1[#All],13,0)*E250))))))</f>
        <v/>
      </c>
      <c r="G250" s="16" t="str">
        <f>IF(B250="Compra de estoque",VLOOKUP(C250,Tabela1[#All],4,0)*E250,"")</f>
        <v/>
      </c>
      <c r="H250" s="16"/>
    </row>
    <row r="251" spans="1:8" x14ac:dyDescent="0.25">
      <c r="A251" s="14" t="str">
        <f t="shared" ca="1" si="3"/>
        <v/>
      </c>
      <c r="D251" s="15" t="str">
        <f>IF(C251="","",VLOOKUP(C251,Tabela1[#All],2,0))</f>
        <v/>
      </c>
      <c r="F251" s="16" t="str" cm="1">
        <f t="array" ref="F251">IF(B251="","",(IF(B251="Compra de estoque","",(_xlfn.IFS(AND(B251="Venda de produtos",H251="Sul/Sudeste"),(VLOOKUP(C251,Tabela1[#All],9,0)*E251),AND(B251="Venda de produtos",H251="Nordeste"),(VLOOKUP(C251,Tabela1[#All],11,0)*E251),AND("Venda de produtos",H251="Norte/Centro-Oeste"),(VLOOKUP(C251,Tabela1[#All],13,0)*E251))))))</f>
        <v/>
      </c>
      <c r="G251" s="16" t="str">
        <f>IF(B251="Compra de estoque",VLOOKUP(C251,Tabela1[#All],4,0)*E251,"")</f>
        <v/>
      </c>
      <c r="H251" s="16"/>
    </row>
    <row r="252" spans="1:8" x14ac:dyDescent="0.25">
      <c r="A252" s="14" t="str">
        <f t="shared" ca="1" si="3"/>
        <v/>
      </c>
      <c r="D252" s="15" t="str">
        <f>IF(C252="","",VLOOKUP(C252,Tabela1[#All],2,0))</f>
        <v/>
      </c>
      <c r="F252" s="16" t="str" cm="1">
        <f t="array" ref="F252">IF(B252="","",(IF(B252="Compra de estoque","",(_xlfn.IFS(AND(B252="Venda de produtos",H252="Sul/Sudeste"),(VLOOKUP(C252,Tabela1[#All],9,0)*E252),AND(B252="Venda de produtos",H252="Nordeste"),(VLOOKUP(C252,Tabela1[#All],11,0)*E252),AND("Venda de produtos",H252="Norte/Centro-Oeste"),(VLOOKUP(C252,Tabela1[#All],13,0)*E252))))))</f>
        <v/>
      </c>
      <c r="G252" s="16" t="str">
        <f>IF(B252="Compra de estoque",VLOOKUP(C252,Tabela1[#All],4,0)*E252,"")</f>
        <v/>
      </c>
      <c r="H252" s="16"/>
    </row>
    <row r="253" spans="1:8" x14ac:dyDescent="0.25">
      <c r="A253" s="14" t="str">
        <f t="shared" ca="1" si="3"/>
        <v/>
      </c>
      <c r="D253" s="15" t="str">
        <f>IF(C253="","",VLOOKUP(C253,Tabela1[#All],2,0))</f>
        <v/>
      </c>
      <c r="F253" s="16" t="str" cm="1">
        <f t="array" ref="F253">IF(B253="","",(IF(B253="Compra de estoque","",(_xlfn.IFS(AND(B253="Venda de produtos",H253="Sul/Sudeste"),(VLOOKUP(C253,Tabela1[#All],9,0)*E253),AND(B253="Venda de produtos",H253="Nordeste"),(VLOOKUP(C253,Tabela1[#All],11,0)*E253),AND("Venda de produtos",H253="Norte/Centro-Oeste"),(VLOOKUP(C253,Tabela1[#All],13,0)*E253))))))</f>
        <v/>
      </c>
      <c r="G253" s="16" t="str">
        <f>IF(B253="Compra de estoque",VLOOKUP(C253,Tabela1[#All],4,0)*E253,"")</f>
        <v/>
      </c>
      <c r="H253" s="16"/>
    </row>
    <row r="254" spans="1:8" x14ac:dyDescent="0.25">
      <c r="A254" s="14" t="str">
        <f t="shared" ca="1" si="3"/>
        <v/>
      </c>
      <c r="D254" s="15" t="str">
        <f>IF(C254="","",VLOOKUP(C254,Tabela1[#All],2,0))</f>
        <v/>
      </c>
      <c r="F254" s="16" t="str" cm="1">
        <f t="array" ref="F254">IF(B254="","",(IF(B254="Compra de estoque","",(_xlfn.IFS(AND(B254="Venda de produtos",H254="Sul/Sudeste"),(VLOOKUP(C254,Tabela1[#All],9,0)*E254),AND(B254="Venda de produtos",H254="Nordeste"),(VLOOKUP(C254,Tabela1[#All],11,0)*E254),AND("Venda de produtos",H254="Norte/Centro-Oeste"),(VLOOKUP(C254,Tabela1[#All],13,0)*E254))))))</f>
        <v/>
      </c>
      <c r="G254" s="16" t="str">
        <f>IF(B254="Compra de estoque",VLOOKUP(C254,Tabela1[#All],4,0)*E254,"")</f>
        <v/>
      </c>
      <c r="H254" s="16"/>
    </row>
    <row r="255" spans="1:8" x14ac:dyDescent="0.25">
      <c r="A255" s="14" t="str">
        <f t="shared" ca="1" si="3"/>
        <v/>
      </c>
      <c r="D255" s="15" t="str">
        <f>IF(C255="","",VLOOKUP(C255,Tabela1[#All],2,0))</f>
        <v/>
      </c>
      <c r="F255" s="16" t="str" cm="1">
        <f t="array" ref="F255">IF(B255="","",(IF(B255="Compra de estoque","",(_xlfn.IFS(AND(B255="Venda de produtos",H255="Sul/Sudeste"),(VLOOKUP(C255,Tabela1[#All],9,0)*E255),AND(B255="Venda de produtos",H255="Nordeste"),(VLOOKUP(C255,Tabela1[#All],11,0)*E255),AND("Venda de produtos",H255="Norte/Centro-Oeste"),(VLOOKUP(C255,Tabela1[#All],13,0)*E255))))))</f>
        <v/>
      </c>
      <c r="G255" s="16" t="str">
        <f>IF(B255="Compra de estoque",VLOOKUP(C255,Tabela1[#All],4,0)*E255,"")</f>
        <v/>
      </c>
      <c r="H255" s="16"/>
    </row>
    <row r="256" spans="1:8" x14ac:dyDescent="0.25">
      <c r="A256" s="14" t="str">
        <f t="shared" ca="1" si="3"/>
        <v/>
      </c>
      <c r="D256" s="15" t="str">
        <f>IF(C256="","",VLOOKUP(C256,Tabela1[#All],2,0))</f>
        <v/>
      </c>
      <c r="F256" s="16" t="str" cm="1">
        <f t="array" ref="F256">IF(B256="","",(IF(B256="Compra de estoque","",(_xlfn.IFS(AND(B256="Venda de produtos",H256="Sul/Sudeste"),(VLOOKUP(C256,Tabela1[#All],9,0)*E256),AND(B256="Venda de produtos",H256="Nordeste"),(VLOOKUP(C256,Tabela1[#All],11,0)*E256),AND("Venda de produtos",H256="Norte/Centro-Oeste"),(VLOOKUP(C256,Tabela1[#All],13,0)*E256))))))</f>
        <v/>
      </c>
      <c r="G256" s="16" t="str">
        <f>IF(B256="Compra de estoque",VLOOKUP(C256,Tabela1[#All],4,0)*E256,"")</f>
        <v/>
      </c>
      <c r="H256" s="16"/>
    </row>
    <row r="257" spans="1:8" x14ac:dyDescent="0.25">
      <c r="A257" s="14" t="str">
        <f t="shared" ca="1" si="3"/>
        <v/>
      </c>
      <c r="D257" s="15" t="str">
        <f>IF(C257="","",VLOOKUP(C257,Tabela1[#All],2,0))</f>
        <v/>
      </c>
      <c r="F257" s="16" t="str" cm="1">
        <f t="array" ref="F257">IF(B257="","",(IF(B257="Compra de estoque","",(_xlfn.IFS(AND(B257="Venda de produtos",H257="Sul/Sudeste"),(VLOOKUP(C257,Tabela1[#All],9,0)*E257),AND(B257="Venda de produtos",H257="Nordeste"),(VLOOKUP(C257,Tabela1[#All],11,0)*E257),AND("Venda de produtos",H257="Norte/Centro-Oeste"),(VLOOKUP(C257,Tabela1[#All],13,0)*E257))))))</f>
        <v/>
      </c>
      <c r="G257" s="16" t="str">
        <f>IF(B257="Compra de estoque",VLOOKUP(C257,Tabela1[#All],4,0)*E257,"")</f>
        <v/>
      </c>
      <c r="H257" s="16"/>
    </row>
    <row r="258" spans="1:8" x14ac:dyDescent="0.25">
      <c r="A258" s="14" t="str">
        <f t="shared" ca="1" si="3"/>
        <v/>
      </c>
      <c r="D258" s="15" t="str">
        <f>IF(C258="","",VLOOKUP(C258,Tabela1[#All],2,0))</f>
        <v/>
      </c>
      <c r="F258" s="16" t="str" cm="1">
        <f t="array" ref="F258">IF(B258="","",(IF(B258="Compra de estoque","",(_xlfn.IFS(AND(B258="Venda de produtos",H258="Sul/Sudeste"),(VLOOKUP(C258,Tabela1[#All],9,0)*E258),AND(B258="Venda de produtos",H258="Nordeste"),(VLOOKUP(C258,Tabela1[#All],11,0)*E258),AND("Venda de produtos",H258="Norte/Centro-Oeste"),(VLOOKUP(C258,Tabela1[#All],13,0)*E258))))))</f>
        <v/>
      </c>
      <c r="G258" s="16" t="str">
        <f>IF(B258="Compra de estoque",VLOOKUP(C258,Tabela1[#All],4,0)*E258,"")</f>
        <v/>
      </c>
      <c r="H258" s="16"/>
    </row>
    <row r="259" spans="1:8" x14ac:dyDescent="0.25">
      <c r="A259" s="14" t="str">
        <f t="shared" ref="A259:A322" ca="1" si="4">IF(C259="","",NOW())</f>
        <v/>
      </c>
      <c r="D259" s="15" t="str">
        <f>IF(C259="","",VLOOKUP(C259,Tabela1[#All],2,0))</f>
        <v/>
      </c>
      <c r="F259" s="16" t="str" cm="1">
        <f t="array" ref="F259">IF(B259="","",(IF(B259="Compra de estoque","",(_xlfn.IFS(AND(B259="Venda de produtos",H259="Sul/Sudeste"),(VLOOKUP(C259,Tabela1[#All],9,0)*E259),AND(B259="Venda de produtos",H259="Nordeste"),(VLOOKUP(C259,Tabela1[#All],11,0)*E259),AND("Venda de produtos",H259="Norte/Centro-Oeste"),(VLOOKUP(C259,Tabela1[#All],13,0)*E259))))))</f>
        <v/>
      </c>
      <c r="G259" s="16" t="str">
        <f>IF(B259="Compra de estoque",VLOOKUP(C259,Tabela1[#All],4,0)*E259,"")</f>
        <v/>
      </c>
      <c r="H259" s="16"/>
    </row>
    <row r="260" spans="1:8" x14ac:dyDescent="0.25">
      <c r="A260" s="14" t="str">
        <f t="shared" ca="1" si="4"/>
        <v/>
      </c>
      <c r="D260" s="15" t="str">
        <f>IF(C260="","",VLOOKUP(C260,Tabela1[#All],2,0))</f>
        <v/>
      </c>
      <c r="F260" s="16" t="str" cm="1">
        <f t="array" ref="F260">IF(B260="","",(IF(B260="Compra de estoque","",(_xlfn.IFS(AND(B260="Venda de produtos",H260="Sul/Sudeste"),(VLOOKUP(C260,Tabela1[#All],9,0)*E260),AND(B260="Venda de produtos",H260="Nordeste"),(VLOOKUP(C260,Tabela1[#All],11,0)*E260),AND("Venda de produtos",H260="Norte/Centro-Oeste"),(VLOOKUP(C260,Tabela1[#All],13,0)*E260))))))</f>
        <v/>
      </c>
      <c r="G260" s="16" t="str">
        <f>IF(B260="Compra de estoque",VLOOKUP(C260,Tabela1[#All],4,0)*E260,"")</f>
        <v/>
      </c>
      <c r="H260" s="16"/>
    </row>
    <row r="261" spans="1:8" x14ac:dyDescent="0.25">
      <c r="A261" s="14" t="str">
        <f t="shared" ca="1" si="4"/>
        <v/>
      </c>
      <c r="D261" s="15" t="str">
        <f>IF(C261="","",VLOOKUP(C261,Tabela1[#All],2,0))</f>
        <v/>
      </c>
      <c r="F261" s="16" t="str" cm="1">
        <f t="array" ref="F261">IF(B261="","",(IF(B261="Compra de estoque","",(_xlfn.IFS(AND(B261="Venda de produtos",H261="Sul/Sudeste"),(VLOOKUP(C261,Tabela1[#All],9,0)*E261),AND(B261="Venda de produtos",H261="Nordeste"),(VLOOKUP(C261,Tabela1[#All],11,0)*E261),AND("Venda de produtos",H261="Norte/Centro-Oeste"),(VLOOKUP(C261,Tabela1[#All],13,0)*E261))))))</f>
        <v/>
      </c>
      <c r="G261" s="16" t="str">
        <f>IF(B261="Compra de estoque",VLOOKUP(C261,Tabela1[#All],4,0)*E261,"")</f>
        <v/>
      </c>
      <c r="H261" s="16"/>
    </row>
    <row r="262" spans="1:8" x14ac:dyDescent="0.25">
      <c r="A262" s="14" t="str">
        <f t="shared" ca="1" si="4"/>
        <v/>
      </c>
      <c r="D262" s="15" t="str">
        <f>IF(C262="","",VLOOKUP(C262,Tabela1[#All],2,0))</f>
        <v/>
      </c>
      <c r="F262" s="16" t="str" cm="1">
        <f t="array" ref="F262">IF(B262="","",(IF(B262="Compra de estoque","",(_xlfn.IFS(AND(B262="Venda de produtos",H262="Sul/Sudeste"),(VLOOKUP(C262,Tabela1[#All],9,0)*E262),AND(B262="Venda de produtos",H262="Nordeste"),(VLOOKUP(C262,Tabela1[#All],11,0)*E262),AND("Venda de produtos",H262="Norte/Centro-Oeste"),(VLOOKUP(C262,Tabela1[#All],13,0)*E262))))))</f>
        <v/>
      </c>
      <c r="G262" s="16" t="str">
        <f>IF(B262="Compra de estoque",VLOOKUP(C262,Tabela1[#All],4,0)*E262,"")</f>
        <v/>
      </c>
      <c r="H262" s="16"/>
    </row>
    <row r="263" spans="1:8" x14ac:dyDescent="0.25">
      <c r="A263" s="14" t="str">
        <f t="shared" ca="1" si="4"/>
        <v/>
      </c>
      <c r="D263" s="15" t="str">
        <f>IF(C263="","",VLOOKUP(C263,Tabela1[#All],2,0))</f>
        <v/>
      </c>
      <c r="F263" s="16" t="str" cm="1">
        <f t="array" ref="F263">IF(B263="","",(IF(B263="Compra de estoque","",(_xlfn.IFS(AND(B263="Venda de produtos",H263="Sul/Sudeste"),(VLOOKUP(C263,Tabela1[#All],9,0)*E263),AND(B263="Venda de produtos",H263="Nordeste"),(VLOOKUP(C263,Tabela1[#All],11,0)*E263),AND("Venda de produtos",H263="Norte/Centro-Oeste"),(VLOOKUP(C263,Tabela1[#All],13,0)*E263))))))</f>
        <v/>
      </c>
      <c r="G263" s="16" t="str">
        <f>IF(B263="Compra de estoque",VLOOKUP(C263,Tabela1[#All],4,0)*E263,"")</f>
        <v/>
      </c>
      <c r="H263" s="16"/>
    </row>
    <row r="264" spans="1:8" x14ac:dyDescent="0.25">
      <c r="A264" s="14" t="str">
        <f t="shared" ca="1" si="4"/>
        <v/>
      </c>
      <c r="D264" s="15" t="str">
        <f>IF(C264="","",VLOOKUP(C264,Tabela1[#All],2,0))</f>
        <v/>
      </c>
      <c r="F264" s="16" t="str" cm="1">
        <f t="array" ref="F264">IF(B264="","",(IF(B264="Compra de estoque","",(_xlfn.IFS(AND(B264="Venda de produtos",H264="Sul/Sudeste"),(VLOOKUP(C264,Tabela1[#All],9,0)*E264),AND(B264="Venda de produtos",H264="Nordeste"),(VLOOKUP(C264,Tabela1[#All],11,0)*E264),AND("Venda de produtos",H264="Norte/Centro-Oeste"),(VLOOKUP(C264,Tabela1[#All],13,0)*E264))))))</f>
        <v/>
      </c>
      <c r="G264" s="16" t="str">
        <f>IF(B264="Compra de estoque",VLOOKUP(C264,Tabela1[#All],4,0)*E264,"")</f>
        <v/>
      </c>
      <c r="H264" s="16"/>
    </row>
    <row r="265" spans="1:8" x14ac:dyDescent="0.25">
      <c r="A265" s="14" t="str">
        <f t="shared" ca="1" si="4"/>
        <v/>
      </c>
      <c r="D265" s="15" t="str">
        <f>IF(C265="","",VLOOKUP(C265,Tabela1[#All],2,0))</f>
        <v/>
      </c>
      <c r="F265" s="16" t="str" cm="1">
        <f t="array" ref="F265">IF(B265="","",(IF(B265="Compra de estoque","",(_xlfn.IFS(AND(B265="Venda de produtos",H265="Sul/Sudeste"),(VLOOKUP(C265,Tabela1[#All],9,0)*E265),AND(B265="Venda de produtos",H265="Nordeste"),(VLOOKUP(C265,Tabela1[#All],11,0)*E265),AND("Venda de produtos",H265="Norte/Centro-Oeste"),(VLOOKUP(C265,Tabela1[#All],13,0)*E265))))))</f>
        <v/>
      </c>
      <c r="G265" s="16" t="str">
        <f>IF(B265="Compra de estoque",VLOOKUP(C265,Tabela1[#All],4,0)*E265,"")</f>
        <v/>
      </c>
      <c r="H265" s="16"/>
    </row>
    <row r="266" spans="1:8" x14ac:dyDescent="0.25">
      <c r="A266" s="14" t="str">
        <f t="shared" ca="1" si="4"/>
        <v/>
      </c>
      <c r="D266" s="15" t="str">
        <f>IF(C266="","",VLOOKUP(C266,Tabela1[#All],2,0))</f>
        <v/>
      </c>
      <c r="F266" s="16" t="str" cm="1">
        <f t="array" ref="F266">IF(B266="","",(IF(B266="Compra de estoque","",(_xlfn.IFS(AND(B266="Venda de produtos",H266="Sul/Sudeste"),(VLOOKUP(C266,Tabela1[#All],9,0)*E266),AND(B266="Venda de produtos",H266="Nordeste"),(VLOOKUP(C266,Tabela1[#All],11,0)*E266),AND("Venda de produtos",H266="Norte/Centro-Oeste"),(VLOOKUP(C266,Tabela1[#All],13,0)*E266))))))</f>
        <v/>
      </c>
      <c r="G266" s="16" t="str">
        <f>IF(B266="Compra de estoque",VLOOKUP(C266,Tabela1[#All],4,0)*E266,"")</f>
        <v/>
      </c>
      <c r="H266" s="16"/>
    </row>
    <row r="267" spans="1:8" x14ac:dyDescent="0.25">
      <c r="A267" s="14" t="str">
        <f t="shared" ca="1" si="4"/>
        <v/>
      </c>
      <c r="D267" s="15" t="str">
        <f>IF(C267="","",VLOOKUP(C267,Tabela1[#All],2,0))</f>
        <v/>
      </c>
      <c r="F267" s="16" t="str" cm="1">
        <f t="array" ref="F267">IF(B267="","",(IF(B267="Compra de estoque","",(_xlfn.IFS(AND(B267="Venda de produtos",H267="Sul/Sudeste"),(VLOOKUP(C267,Tabela1[#All],9,0)*E267),AND(B267="Venda de produtos",H267="Nordeste"),(VLOOKUP(C267,Tabela1[#All],11,0)*E267),AND("Venda de produtos",H267="Norte/Centro-Oeste"),(VLOOKUP(C267,Tabela1[#All],13,0)*E267))))))</f>
        <v/>
      </c>
      <c r="G267" s="16" t="str">
        <f>IF(B267="Compra de estoque",VLOOKUP(C267,Tabela1[#All],4,0)*E267,"")</f>
        <v/>
      </c>
      <c r="H267" s="16"/>
    </row>
    <row r="268" spans="1:8" x14ac:dyDescent="0.25">
      <c r="A268" s="14" t="str">
        <f t="shared" ca="1" si="4"/>
        <v/>
      </c>
      <c r="D268" s="15" t="str">
        <f>IF(C268="","",VLOOKUP(C268,Tabela1[#All],2,0))</f>
        <v/>
      </c>
      <c r="F268" s="16" t="str" cm="1">
        <f t="array" ref="F268">IF(B268="","",(IF(B268="Compra de estoque","",(_xlfn.IFS(AND(B268="Venda de produtos",H268="Sul/Sudeste"),(VLOOKUP(C268,Tabela1[#All],9,0)*E268),AND(B268="Venda de produtos",H268="Nordeste"),(VLOOKUP(C268,Tabela1[#All],11,0)*E268),AND("Venda de produtos",H268="Norte/Centro-Oeste"),(VLOOKUP(C268,Tabela1[#All],13,0)*E268))))))</f>
        <v/>
      </c>
      <c r="G268" s="16" t="str">
        <f>IF(B268="Compra de estoque",VLOOKUP(C268,Tabela1[#All],4,0)*E268,"")</f>
        <v/>
      </c>
      <c r="H268" s="16"/>
    </row>
    <row r="269" spans="1:8" x14ac:dyDescent="0.25">
      <c r="A269" s="14" t="str">
        <f t="shared" ca="1" si="4"/>
        <v/>
      </c>
      <c r="D269" s="15" t="str">
        <f>IF(C269="","",VLOOKUP(C269,Tabela1[#All],2,0))</f>
        <v/>
      </c>
      <c r="F269" s="16" t="str" cm="1">
        <f t="array" ref="F269">IF(B269="","",(IF(B269="Compra de estoque","",(_xlfn.IFS(AND(B269="Venda de produtos",H269="Sul/Sudeste"),(VLOOKUP(C269,Tabela1[#All],9,0)*E269),AND(B269="Venda de produtos",H269="Nordeste"),(VLOOKUP(C269,Tabela1[#All],11,0)*E269),AND("Venda de produtos",H269="Norte/Centro-Oeste"),(VLOOKUP(C269,Tabela1[#All],13,0)*E269))))))</f>
        <v/>
      </c>
      <c r="G269" s="16" t="str">
        <f>IF(B269="Compra de estoque",VLOOKUP(C269,Tabela1[#All],4,0)*E269,"")</f>
        <v/>
      </c>
      <c r="H269" s="16"/>
    </row>
    <row r="270" spans="1:8" x14ac:dyDescent="0.25">
      <c r="A270" s="14" t="str">
        <f t="shared" ca="1" si="4"/>
        <v/>
      </c>
      <c r="D270" s="15" t="str">
        <f>IF(C270="","",VLOOKUP(C270,Tabela1[#All],2,0))</f>
        <v/>
      </c>
      <c r="F270" s="16" t="str" cm="1">
        <f t="array" ref="F270">IF(B270="","",(IF(B270="Compra de estoque","",(_xlfn.IFS(AND(B270="Venda de produtos",H270="Sul/Sudeste"),(VLOOKUP(C270,Tabela1[#All],9,0)*E270),AND(B270="Venda de produtos",H270="Nordeste"),(VLOOKUP(C270,Tabela1[#All],11,0)*E270),AND("Venda de produtos",H270="Norte/Centro-Oeste"),(VLOOKUP(C270,Tabela1[#All],13,0)*E270))))))</f>
        <v/>
      </c>
      <c r="G270" s="16" t="str">
        <f>IF(B270="Compra de estoque",VLOOKUP(C270,Tabela1[#All],4,0)*E270,"")</f>
        <v/>
      </c>
      <c r="H270" s="16"/>
    </row>
    <row r="271" spans="1:8" x14ac:dyDescent="0.25">
      <c r="A271" s="14" t="str">
        <f t="shared" ca="1" si="4"/>
        <v/>
      </c>
      <c r="D271" s="15" t="str">
        <f>IF(C271="","",VLOOKUP(C271,Tabela1[#All],2,0))</f>
        <v/>
      </c>
      <c r="F271" s="16" t="str" cm="1">
        <f t="array" ref="F271">IF(B271="","",(IF(B271="Compra de estoque","",(_xlfn.IFS(AND(B271="Venda de produtos",H271="Sul/Sudeste"),(VLOOKUP(C271,Tabela1[#All],9,0)*E271),AND(B271="Venda de produtos",H271="Nordeste"),(VLOOKUP(C271,Tabela1[#All],11,0)*E271),AND("Venda de produtos",H271="Norte/Centro-Oeste"),(VLOOKUP(C271,Tabela1[#All],13,0)*E271))))))</f>
        <v/>
      </c>
      <c r="G271" s="16" t="str">
        <f>IF(B271="Compra de estoque",VLOOKUP(C271,Tabela1[#All],4,0)*E271,"")</f>
        <v/>
      </c>
      <c r="H271" s="16"/>
    </row>
    <row r="272" spans="1:8" x14ac:dyDescent="0.25">
      <c r="A272" s="14" t="str">
        <f t="shared" ca="1" si="4"/>
        <v/>
      </c>
      <c r="D272" s="15" t="str">
        <f>IF(C272="","",VLOOKUP(C272,Tabela1[#All],2,0))</f>
        <v/>
      </c>
      <c r="F272" s="16" t="str" cm="1">
        <f t="array" ref="F272">IF(B272="","",(IF(B272="Compra de estoque","",(_xlfn.IFS(AND(B272="Venda de produtos",H272="Sul/Sudeste"),(VLOOKUP(C272,Tabela1[#All],9,0)*E272),AND(B272="Venda de produtos",H272="Nordeste"),(VLOOKUP(C272,Tabela1[#All],11,0)*E272),AND("Venda de produtos",H272="Norte/Centro-Oeste"),(VLOOKUP(C272,Tabela1[#All],13,0)*E272))))))</f>
        <v/>
      </c>
      <c r="G272" s="16" t="str">
        <f>IF(B272="Compra de estoque",VLOOKUP(C272,Tabela1[#All],4,0)*E272,"")</f>
        <v/>
      </c>
      <c r="H272" s="16"/>
    </row>
    <row r="273" spans="1:8" x14ac:dyDescent="0.25">
      <c r="A273" s="14" t="str">
        <f t="shared" ca="1" si="4"/>
        <v/>
      </c>
      <c r="D273" s="15" t="str">
        <f>IF(C273="","",VLOOKUP(C273,Tabela1[#All],2,0))</f>
        <v/>
      </c>
      <c r="F273" s="16" t="str" cm="1">
        <f t="array" ref="F273">IF(B273="","",(IF(B273="Compra de estoque","",(_xlfn.IFS(AND(B273="Venda de produtos",H273="Sul/Sudeste"),(VLOOKUP(C273,Tabela1[#All],9,0)*E273),AND(B273="Venda de produtos",H273="Nordeste"),(VLOOKUP(C273,Tabela1[#All],11,0)*E273),AND("Venda de produtos",H273="Norte/Centro-Oeste"),(VLOOKUP(C273,Tabela1[#All],13,0)*E273))))))</f>
        <v/>
      </c>
      <c r="G273" s="16" t="str">
        <f>IF(B273="Compra de estoque",VLOOKUP(C273,Tabela1[#All],4,0)*E273,"")</f>
        <v/>
      </c>
      <c r="H273" s="16"/>
    </row>
    <row r="274" spans="1:8" x14ac:dyDescent="0.25">
      <c r="A274" s="14" t="str">
        <f t="shared" ca="1" si="4"/>
        <v/>
      </c>
      <c r="D274" s="15" t="str">
        <f>IF(C274="","",VLOOKUP(C274,Tabela1[#All],2,0))</f>
        <v/>
      </c>
      <c r="F274" s="16" t="str" cm="1">
        <f t="array" ref="F274">IF(B274="","",(IF(B274="Compra de estoque","",(_xlfn.IFS(AND(B274="Venda de produtos",H274="Sul/Sudeste"),(VLOOKUP(C274,Tabela1[#All],9,0)*E274),AND(B274="Venda de produtos",H274="Nordeste"),(VLOOKUP(C274,Tabela1[#All],11,0)*E274),AND("Venda de produtos",H274="Norte/Centro-Oeste"),(VLOOKUP(C274,Tabela1[#All],13,0)*E274))))))</f>
        <v/>
      </c>
      <c r="G274" s="16" t="str">
        <f>IF(B274="Compra de estoque",VLOOKUP(C274,Tabela1[#All],4,0)*E274,"")</f>
        <v/>
      </c>
      <c r="H274" s="16"/>
    </row>
    <row r="275" spans="1:8" x14ac:dyDescent="0.25">
      <c r="A275" s="14" t="str">
        <f t="shared" ca="1" si="4"/>
        <v/>
      </c>
      <c r="D275" s="15" t="str">
        <f>IF(C275="","",VLOOKUP(C275,Tabela1[#All],2,0))</f>
        <v/>
      </c>
      <c r="F275" s="16" t="str" cm="1">
        <f t="array" ref="F275">IF(B275="","",(IF(B275="Compra de estoque","",(_xlfn.IFS(AND(B275="Venda de produtos",H275="Sul/Sudeste"),(VLOOKUP(C275,Tabela1[#All],9,0)*E275),AND(B275="Venda de produtos",H275="Nordeste"),(VLOOKUP(C275,Tabela1[#All],11,0)*E275),AND("Venda de produtos",H275="Norte/Centro-Oeste"),(VLOOKUP(C275,Tabela1[#All],13,0)*E275))))))</f>
        <v/>
      </c>
      <c r="G275" s="16" t="str">
        <f>IF(B275="Compra de estoque",VLOOKUP(C275,Tabela1[#All],4,0)*E275,"")</f>
        <v/>
      </c>
      <c r="H275" s="16"/>
    </row>
    <row r="276" spans="1:8" x14ac:dyDescent="0.25">
      <c r="A276" s="14" t="str">
        <f t="shared" ca="1" si="4"/>
        <v/>
      </c>
      <c r="D276" s="15" t="str">
        <f>IF(C276="","",VLOOKUP(C276,Tabela1[#All],2,0))</f>
        <v/>
      </c>
      <c r="F276" s="16" t="str" cm="1">
        <f t="array" ref="F276">IF(B276="","",(IF(B276="Compra de estoque","",(_xlfn.IFS(AND(B276="Venda de produtos",H276="Sul/Sudeste"),(VLOOKUP(C276,Tabela1[#All],9,0)*E276),AND(B276="Venda de produtos",H276="Nordeste"),(VLOOKUP(C276,Tabela1[#All],11,0)*E276),AND("Venda de produtos",H276="Norte/Centro-Oeste"),(VLOOKUP(C276,Tabela1[#All],13,0)*E276))))))</f>
        <v/>
      </c>
      <c r="G276" s="16" t="str">
        <f>IF(B276="Compra de estoque",VLOOKUP(C276,Tabela1[#All],4,0)*E276,"")</f>
        <v/>
      </c>
      <c r="H276" s="16"/>
    </row>
    <row r="277" spans="1:8" x14ac:dyDescent="0.25">
      <c r="A277" s="14" t="str">
        <f t="shared" ca="1" si="4"/>
        <v/>
      </c>
      <c r="D277" s="15" t="str">
        <f>IF(C277="","",VLOOKUP(C277,Tabela1[#All],2,0))</f>
        <v/>
      </c>
      <c r="F277" s="16" t="str" cm="1">
        <f t="array" ref="F277">IF(B277="","",(IF(B277="Compra de estoque","",(_xlfn.IFS(AND(B277="Venda de produtos",H277="Sul/Sudeste"),(VLOOKUP(C277,Tabela1[#All],9,0)*E277),AND(B277="Venda de produtos",H277="Nordeste"),(VLOOKUP(C277,Tabela1[#All],11,0)*E277),AND("Venda de produtos",H277="Norte/Centro-Oeste"),(VLOOKUP(C277,Tabela1[#All],13,0)*E277))))))</f>
        <v/>
      </c>
      <c r="G277" s="16" t="str">
        <f>IF(B277="Compra de estoque",VLOOKUP(C277,Tabela1[#All],4,0)*E277,"")</f>
        <v/>
      </c>
      <c r="H277" s="16"/>
    </row>
    <row r="278" spans="1:8" x14ac:dyDescent="0.25">
      <c r="A278" s="14" t="str">
        <f t="shared" ca="1" si="4"/>
        <v/>
      </c>
      <c r="D278" s="15" t="str">
        <f>IF(C278="","",VLOOKUP(C278,Tabela1[#All],2,0))</f>
        <v/>
      </c>
      <c r="F278" s="16" t="str" cm="1">
        <f t="array" ref="F278">IF(B278="","",(IF(B278="Compra de estoque","",(_xlfn.IFS(AND(B278="Venda de produtos",H278="Sul/Sudeste"),(VLOOKUP(C278,Tabela1[#All],9,0)*E278),AND(B278="Venda de produtos",H278="Nordeste"),(VLOOKUP(C278,Tabela1[#All],11,0)*E278),AND("Venda de produtos",H278="Norte/Centro-Oeste"),(VLOOKUP(C278,Tabela1[#All],13,0)*E278))))))</f>
        <v/>
      </c>
      <c r="G278" s="16" t="str">
        <f>IF(B278="Compra de estoque",VLOOKUP(C278,Tabela1[#All],4,0)*E278,"")</f>
        <v/>
      </c>
      <c r="H278" s="16"/>
    </row>
    <row r="279" spans="1:8" x14ac:dyDescent="0.25">
      <c r="A279" s="14" t="str">
        <f t="shared" ca="1" si="4"/>
        <v/>
      </c>
      <c r="D279" s="15" t="str">
        <f>IF(C279="","",VLOOKUP(C279,Tabela1[#All],2,0))</f>
        <v/>
      </c>
      <c r="F279" s="16" t="str" cm="1">
        <f t="array" ref="F279">IF(B279="","",(IF(B279="Compra de estoque","",(_xlfn.IFS(AND(B279="Venda de produtos",H279="Sul/Sudeste"),(VLOOKUP(C279,Tabela1[#All],9,0)*E279),AND(B279="Venda de produtos",H279="Nordeste"),(VLOOKUP(C279,Tabela1[#All],11,0)*E279),AND("Venda de produtos",H279="Norte/Centro-Oeste"),(VLOOKUP(C279,Tabela1[#All],13,0)*E279))))))</f>
        <v/>
      </c>
      <c r="G279" s="16" t="str">
        <f>IF(B279="Compra de estoque",VLOOKUP(C279,Tabela1[#All],4,0)*E279,"")</f>
        <v/>
      </c>
      <c r="H279" s="16"/>
    </row>
    <row r="280" spans="1:8" x14ac:dyDescent="0.25">
      <c r="A280" s="14" t="str">
        <f t="shared" ca="1" si="4"/>
        <v/>
      </c>
      <c r="D280" s="15" t="str">
        <f>IF(C280="","",VLOOKUP(C280,Tabela1[#All],2,0))</f>
        <v/>
      </c>
      <c r="F280" s="16" t="str" cm="1">
        <f t="array" ref="F280">IF(B280="","",(IF(B280="Compra de estoque","",(_xlfn.IFS(AND(B280="Venda de produtos",H280="Sul/Sudeste"),(VLOOKUP(C280,Tabela1[#All],9,0)*E280),AND(B280="Venda de produtos",H280="Nordeste"),(VLOOKUP(C280,Tabela1[#All],11,0)*E280),AND("Venda de produtos",H280="Norte/Centro-Oeste"),(VLOOKUP(C280,Tabela1[#All],13,0)*E280))))))</f>
        <v/>
      </c>
      <c r="G280" s="16" t="str">
        <f>IF(B280="Compra de estoque",VLOOKUP(C280,Tabela1[#All],4,0)*E280,"")</f>
        <v/>
      </c>
      <c r="H280" s="16"/>
    </row>
    <row r="281" spans="1:8" x14ac:dyDescent="0.25">
      <c r="A281" s="14" t="str">
        <f t="shared" ca="1" si="4"/>
        <v/>
      </c>
      <c r="D281" s="15" t="str">
        <f>IF(C281="","",VLOOKUP(C281,Tabela1[#All],2,0))</f>
        <v/>
      </c>
      <c r="F281" s="16" t="str" cm="1">
        <f t="array" ref="F281">IF(B281="","",(IF(B281="Compra de estoque","",(_xlfn.IFS(AND(B281="Venda de produtos",H281="Sul/Sudeste"),(VLOOKUP(C281,Tabela1[#All],9,0)*E281),AND(B281="Venda de produtos",H281="Nordeste"),(VLOOKUP(C281,Tabela1[#All],11,0)*E281),AND("Venda de produtos",H281="Norte/Centro-Oeste"),(VLOOKUP(C281,Tabela1[#All],13,0)*E281))))))</f>
        <v/>
      </c>
      <c r="G281" s="16" t="str">
        <f>IF(B281="Compra de estoque",VLOOKUP(C281,Tabela1[#All],4,0)*E281,"")</f>
        <v/>
      </c>
      <c r="H281" s="16"/>
    </row>
    <row r="282" spans="1:8" x14ac:dyDescent="0.25">
      <c r="A282" s="14" t="str">
        <f t="shared" ca="1" si="4"/>
        <v/>
      </c>
      <c r="D282" s="15" t="str">
        <f>IF(C282="","",VLOOKUP(C282,Tabela1[#All],2,0))</f>
        <v/>
      </c>
      <c r="F282" s="16" t="str" cm="1">
        <f t="array" ref="F282">IF(B282="","",(IF(B282="Compra de estoque","",(_xlfn.IFS(AND(B282="Venda de produtos",H282="Sul/Sudeste"),(VLOOKUP(C282,Tabela1[#All],9,0)*E282),AND(B282="Venda de produtos",H282="Nordeste"),(VLOOKUP(C282,Tabela1[#All],11,0)*E282),AND("Venda de produtos",H282="Norte/Centro-Oeste"),(VLOOKUP(C282,Tabela1[#All],13,0)*E282))))))</f>
        <v/>
      </c>
      <c r="G282" s="16" t="str">
        <f>IF(B282="Compra de estoque",VLOOKUP(C282,Tabela1[#All],4,0)*E282,"")</f>
        <v/>
      </c>
      <c r="H282" s="16"/>
    </row>
    <row r="283" spans="1:8" x14ac:dyDescent="0.25">
      <c r="A283" s="14" t="str">
        <f t="shared" ca="1" si="4"/>
        <v/>
      </c>
      <c r="D283" s="15" t="str">
        <f>IF(C283="","",VLOOKUP(C283,Tabela1[#All],2,0))</f>
        <v/>
      </c>
      <c r="F283" s="16" t="str" cm="1">
        <f t="array" ref="F283">IF(B283="","",(IF(B283="Compra de estoque","",(_xlfn.IFS(AND(B283="Venda de produtos",H283="Sul/Sudeste"),(VLOOKUP(C283,Tabela1[#All],9,0)*E283),AND(B283="Venda de produtos",H283="Nordeste"),(VLOOKUP(C283,Tabela1[#All],11,0)*E283),AND("Venda de produtos",H283="Norte/Centro-Oeste"),(VLOOKUP(C283,Tabela1[#All],13,0)*E283))))))</f>
        <v/>
      </c>
      <c r="G283" s="16" t="str">
        <f>IF(B283="Compra de estoque",VLOOKUP(C283,Tabela1[#All],4,0)*E283,"")</f>
        <v/>
      </c>
      <c r="H283" s="16"/>
    </row>
    <row r="284" spans="1:8" x14ac:dyDescent="0.25">
      <c r="A284" s="14" t="str">
        <f t="shared" ca="1" si="4"/>
        <v/>
      </c>
      <c r="D284" s="15" t="str">
        <f>IF(C284="","",VLOOKUP(C284,Tabela1[#All],2,0))</f>
        <v/>
      </c>
      <c r="F284" s="16" t="str" cm="1">
        <f t="array" ref="F284">IF(B284="","",(IF(B284="Compra de estoque","",(_xlfn.IFS(AND(B284="Venda de produtos",H284="Sul/Sudeste"),(VLOOKUP(C284,Tabela1[#All],9,0)*E284),AND(B284="Venda de produtos",H284="Nordeste"),(VLOOKUP(C284,Tabela1[#All],11,0)*E284),AND("Venda de produtos",H284="Norte/Centro-Oeste"),(VLOOKUP(C284,Tabela1[#All],13,0)*E284))))))</f>
        <v/>
      </c>
      <c r="G284" s="16" t="str">
        <f>IF(B284="Compra de estoque",VLOOKUP(C284,Tabela1[#All],4,0)*E284,"")</f>
        <v/>
      </c>
      <c r="H284" s="16"/>
    </row>
    <row r="285" spans="1:8" x14ac:dyDescent="0.25">
      <c r="A285" s="14" t="str">
        <f t="shared" ca="1" si="4"/>
        <v/>
      </c>
      <c r="D285" s="15" t="str">
        <f>IF(C285="","",VLOOKUP(C285,Tabela1[#All],2,0))</f>
        <v/>
      </c>
      <c r="F285" s="16" t="str" cm="1">
        <f t="array" ref="F285">IF(B285="","",(IF(B285="Compra de estoque","",(_xlfn.IFS(AND(B285="Venda de produtos",H285="Sul/Sudeste"),(VLOOKUP(C285,Tabela1[#All],9,0)*E285),AND(B285="Venda de produtos",H285="Nordeste"),(VLOOKUP(C285,Tabela1[#All],11,0)*E285),AND("Venda de produtos",H285="Norte/Centro-Oeste"),(VLOOKUP(C285,Tabela1[#All],13,0)*E285))))))</f>
        <v/>
      </c>
      <c r="G285" s="16" t="str">
        <f>IF(B285="Compra de estoque",VLOOKUP(C285,Tabela1[#All],4,0)*E285,"")</f>
        <v/>
      </c>
      <c r="H285" s="16"/>
    </row>
    <row r="286" spans="1:8" x14ac:dyDescent="0.25">
      <c r="A286" s="14" t="str">
        <f t="shared" ca="1" si="4"/>
        <v/>
      </c>
      <c r="D286" s="15" t="str">
        <f>IF(C286="","",VLOOKUP(C286,Tabela1[#All],2,0))</f>
        <v/>
      </c>
      <c r="F286" s="16" t="str" cm="1">
        <f t="array" ref="F286">IF(B286="","",(IF(B286="Compra de estoque","",(_xlfn.IFS(AND(B286="Venda de produtos",H286="Sul/Sudeste"),(VLOOKUP(C286,Tabela1[#All],9,0)*E286),AND(B286="Venda de produtos",H286="Nordeste"),(VLOOKUP(C286,Tabela1[#All],11,0)*E286),AND("Venda de produtos",H286="Norte/Centro-Oeste"),(VLOOKUP(C286,Tabela1[#All],13,0)*E286))))))</f>
        <v/>
      </c>
      <c r="G286" s="16" t="str">
        <f>IF(B286="Compra de estoque",VLOOKUP(C286,Tabela1[#All],4,0)*E286,"")</f>
        <v/>
      </c>
      <c r="H286" s="16"/>
    </row>
    <row r="287" spans="1:8" x14ac:dyDescent="0.25">
      <c r="A287" s="14" t="str">
        <f t="shared" ca="1" si="4"/>
        <v/>
      </c>
      <c r="D287" s="15" t="str">
        <f>IF(C287="","",VLOOKUP(C287,Tabela1[#All],2,0))</f>
        <v/>
      </c>
      <c r="F287" s="16" t="str" cm="1">
        <f t="array" ref="F287">IF(B287="","",(IF(B287="Compra de estoque","",(_xlfn.IFS(AND(B287="Venda de produtos",H287="Sul/Sudeste"),(VLOOKUP(C287,Tabela1[#All],9,0)*E287),AND(B287="Venda de produtos",H287="Nordeste"),(VLOOKUP(C287,Tabela1[#All],11,0)*E287),AND("Venda de produtos",H287="Norte/Centro-Oeste"),(VLOOKUP(C287,Tabela1[#All],13,0)*E287))))))</f>
        <v/>
      </c>
      <c r="G287" s="16" t="str">
        <f>IF(B287="Compra de estoque",VLOOKUP(C287,Tabela1[#All],4,0)*E287,"")</f>
        <v/>
      </c>
      <c r="H287" s="16"/>
    </row>
    <row r="288" spans="1:8" x14ac:dyDescent="0.25">
      <c r="A288" s="14" t="str">
        <f t="shared" ca="1" si="4"/>
        <v/>
      </c>
      <c r="D288" s="15" t="str">
        <f>IF(C288="","",VLOOKUP(C288,Tabela1[#All],2,0))</f>
        <v/>
      </c>
      <c r="F288" s="16" t="str" cm="1">
        <f t="array" ref="F288">IF(B288="","",(IF(B288="Compra de estoque","",(_xlfn.IFS(AND(B288="Venda de produtos",H288="Sul/Sudeste"),(VLOOKUP(C288,Tabela1[#All],9,0)*E288),AND(B288="Venda de produtos",H288="Nordeste"),(VLOOKUP(C288,Tabela1[#All],11,0)*E288),AND("Venda de produtos",H288="Norte/Centro-Oeste"),(VLOOKUP(C288,Tabela1[#All],13,0)*E288))))))</f>
        <v/>
      </c>
      <c r="G288" s="16" t="str">
        <f>IF(B288="Compra de estoque",VLOOKUP(C288,Tabela1[#All],4,0)*E288,"")</f>
        <v/>
      </c>
      <c r="H288" s="16"/>
    </row>
    <row r="289" spans="1:8" x14ac:dyDescent="0.25">
      <c r="A289" s="14" t="str">
        <f t="shared" ca="1" si="4"/>
        <v/>
      </c>
      <c r="D289" s="15" t="str">
        <f>IF(C289="","",VLOOKUP(C289,Tabela1[#All],2,0))</f>
        <v/>
      </c>
      <c r="F289" s="16" t="str" cm="1">
        <f t="array" ref="F289">IF(B289="","",(IF(B289="Compra de estoque","",(_xlfn.IFS(AND(B289="Venda de produtos",H289="Sul/Sudeste"),(VLOOKUP(C289,Tabela1[#All],9,0)*E289),AND(B289="Venda de produtos",H289="Nordeste"),(VLOOKUP(C289,Tabela1[#All],11,0)*E289),AND("Venda de produtos",H289="Norte/Centro-Oeste"),(VLOOKUP(C289,Tabela1[#All],13,0)*E289))))))</f>
        <v/>
      </c>
      <c r="G289" s="16" t="str">
        <f>IF(B289="Compra de estoque",VLOOKUP(C289,Tabela1[#All],4,0)*E289,"")</f>
        <v/>
      </c>
      <c r="H289" s="16"/>
    </row>
    <row r="290" spans="1:8" x14ac:dyDescent="0.25">
      <c r="A290" s="14" t="str">
        <f t="shared" ca="1" si="4"/>
        <v/>
      </c>
      <c r="D290" s="15" t="str">
        <f>IF(C290="","",VLOOKUP(C290,Tabela1[#All],2,0))</f>
        <v/>
      </c>
      <c r="F290" s="16" t="str" cm="1">
        <f t="array" ref="F290">IF(B290="","",(IF(B290="Compra de estoque","",(_xlfn.IFS(AND(B290="Venda de produtos",H290="Sul/Sudeste"),(VLOOKUP(C290,Tabela1[#All],9,0)*E290),AND(B290="Venda de produtos",H290="Nordeste"),(VLOOKUP(C290,Tabela1[#All],11,0)*E290),AND("Venda de produtos",H290="Norte/Centro-Oeste"),(VLOOKUP(C290,Tabela1[#All],13,0)*E290))))))</f>
        <v/>
      </c>
      <c r="G290" s="16" t="str">
        <f>IF(B290="Compra de estoque",VLOOKUP(C290,Tabela1[#All],4,0)*E290,"")</f>
        <v/>
      </c>
      <c r="H290" s="16"/>
    </row>
    <row r="291" spans="1:8" x14ac:dyDescent="0.25">
      <c r="A291" s="14" t="str">
        <f t="shared" ca="1" si="4"/>
        <v/>
      </c>
      <c r="D291" s="15" t="str">
        <f>IF(C291="","",VLOOKUP(C291,Tabela1[#All],2,0))</f>
        <v/>
      </c>
      <c r="F291" s="16" t="str" cm="1">
        <f t="array" ref="F291">IF(B291="","",(IF(B291="Compra de estoque","",(_xlfn.IFS(AND(B291="Venda de produtos",H291="Sul/Sudeste"),(VLOOKUP(C291,Tabela1[#All],9,0)*E291),AND(B291="Venda de produtos",H291="Nordeste"),(VLOOKUP(C291,Tabela1[#All],11,0)*E291),AND("Venda de produtos",H291="Norte/Centro-Oeste"),(VLOOKUP(C291,Tabela1[#All],13,0)*E291))))))</f>
        <v/>
      </c>
      <c r="G291" s="16" t="str">
        <f>IF(B291="Compra de estoque",VLOOKUP(C291,Tabela1[#All],4,0)*E291,"")</f>
        <v/>
      </c>
      <c r="H291" s="16"/>
    </row>
    <row r="292" spans="1:8" x14ac:dyDescent="0.25">
      <c r="A292" s="14" t="str">
        <f t="shared" ca="1" si="4"/>
        <v/>
      </c>
      <c r="D292" s="15" t="str">
        <f>IF(C292="","",VLOOKUP(C292,Tabela1[#All],2,0))</f>
        <v/>
      </c>
      <c r="F292" s="16" t="str" cm="1">
        <f t="array" ref="F292">IF(B292="","",(IF(B292="Compra de estoque","",(_xlfn.IFS(AND(B292="Venda de produtos",H292="Sul/Sudeste"),(VLOOKUP(C292,Tabela1[#All],9,0)*E292),AND(B292="Venda de produtos",H292="Nordeste"),(VLOOKUP(C292,Tabela1[#All],11,0)*E292),AND("Venda de produtos",H292="Norte/Centro-Oeste"),(VLOOKUP(C292,Tabela1[#All],13,0)*E292))))))</f>
        <v/>
      </c>
      <c r="G292" s="16" t="str">
        <f>IF(B292="Compra de estoque",VLOOKUP(C292,Tabela1[#All],4,0)*E292,"")</f>
        <v/>
      </c>
      <c r="H292" s="16"/>
    </row>
    <row r="293" spans="1:8" x14ac:dyDescent="0.25">
      <c r="A293" s="14" t="str">
        <f t="shared" ca="1" si="4"/>
        <v/>
      </c>
      <c r="D293" s="15" t="str">
        <f>IF(C293="","",VLOOKUP(C293,Tabela1[#All],2,0))</f>
        <v/>
      </c>
      <c r="F293" s="16" t="str" cm="1">
        <f t="array" ref="F293">IF(B293="","",(IF(B293="Compra de estoque","",(_xlfn.IFS(AND(B293="Venda de produtos",H293="Sul/Sudeste"),(VLOOKUP(C293,Tabela1[#All],9,0)*E293),AND(B293="Venda de produtos",H293="Nordeste"),(VLOOKUP(C293,Tabela1[#All],11,0)*E293),AND("Venda de produtos",H293="Norte/Centro-Oeste"),(VLOOKUP(C293,Tabela1[#All],13,0)*E293))))))</f>
        <v/>
      </c>
      <c r="G293" s="16" t="str">
        <f>IF(B293="Compra de estoque",VLOOKUP(C293,Tabela1[#All],4,0)*E293,"")</f>
        <v/>
      </c>
      <c r="H293" s="16"/>
    </row>
    <row r="294" spans="1:8" x14ac:dyDescent="0.25">
      <c r="A294" s="14" t="str">
        <f t="shared" ca="1" si="4"/>
        <v/>
      </c>
      <c r="D294" s="15" t="str">
        <f>IF(C294="","",VLOOKUP(C294,Tabela1[#All],2,0))</f>
        <v/>
      </c>
      <c r="F294" s="16" t="str" cm="1">
        <f t="array" ref="F294">IF(B294="","",(IF(B294="Compra de estoque","",(_xlfn.IFS(AND(B294="Venda de produtos",H294="Sul/Sudeste"),(VLOOKUP(C294,Tabela1[#All],9,0)*E294),AND(B294="Venda de produtos",H294="Nordeste"),(VLOOKUP(C294,Tabela1[#All],11,0)*E294),AND("Venda de produtos",H294="Norte/Centro-Oeste"),(VLOOKUP(C294,Tabela1[#All],13,0)*E294))))))</f>
        <v/>
      </c>
      <c r="G294" s="16" t="str">
        <f>IF(B294="Compra de estoque",VLOOKUP(C294,Tabela1[#All],4,0)*E294,"")</f>
        <v/>
      </c>
      <c r="H294" s="16"/>
    </row>
    <row r="295" spans="1:8" x14ac:dyDescent="0.25">
      <c r="A295" s="14" t="str">
        <f t="shared" ca="1" si="4"/>
        <v/>
      </c>
      <c r="D295" s="15" t="str">
        <f>IF(C295="","",VLOOKUP(C295,Tabela1[#All],2,0))</f>
        <v/>
      </c>
      <c r="F295" s="16" t="str" cm="1">
        <f t="array" ref="F295">IF(B295="","",(IF(B295="Compra de estoque","",(_xlfn.IFS(AND(B295="Venda de produtos",H295="Sul/Sudeste"),(VLOOKUP(C295,Tabela1[#All],9,0)*E295),AND(B295="Venda de produtos",H295="Nordeste"),(VLOOKUP(C295,Tabela1[#All],11,0)*E295),AND("Venda de produtos",H295="Norte/Centro-Oeste"),(VLOOKUP(C295,Tabela1[#All],13,0)*E295))))))</f>
        <v/>
      </c>
      <c r="G295" s="16" t="str">
        <f>IF(B295="Compra de estoque",VLOOKUP(C295,Tabela1[#All],4,0)*E295,"")</f>
        <v/>
      </c>
      <c r="H295" s="16"/>
    </row>
    <row r="296" spans="1:8" x14ac:dyDescent="0.25">
      <c r="A296" s="14" t="str">
        <f t="shared" ca="1" si="4"/>
        <v/>
      </c>
      <c r="D296" s="15" t="str">
        <f>IF(C296="","",VLOOKUP(C296,Tabela1[#All],2,0))</f>
        <v/>
      </c>
      <c r="F296" s="16" t="str" cm="1">
        <f t="array" ref="F296">IF(B296="","",(IF(B296="Compra de estoque","",(_xlfn.IFS(AND(B296="Venda de produtos",H296="Sul/Sudeste"),(VLOOKUP(C296,Tabela1[#All],9,0)*E296),AND(B296="Venda de produtos",H296="Nordeste"),(VLOOKUP(C296,Tabela1[#All],11,0)*E296),AND("Venda de produtos",H296="Norte/Centro-Oeste"),(VLOOKUP(C296,Tabela1[#All],13,0)*E296))))))</f>
        <v/>
      </c>
      <c r="G296" s="16" t="str">
        <f>IF(B296="Compra de estoque",VLOOKUP(C296,Tabela1[#All],4,0)*E296,"")</f>
        <v/>
      </c>
      <c r="H296" s="16"/>
    </row>
    <row r="297" spans="1:8" x14ac:dyDescent="0.25">
      <c r="A297" s="14" t="str">
        <f t="shared" ca="1" si="4"/>
        <v/>
      </c>
      <c r="D297" s="15" t="str">
        <f>IF(C297="","",VLOOKUP(C297,Tabela1[#All],2,0))</f>
        <v/>
      </c>
      <c r="F297" s="16" t="str" cm="1">
        <f t="array" ref="F297">IF(B297="","",(IF(B297="Compra de estoque","",(_xlfn.IFS(AND(B297="Venda de produtos",H297="Sul/Sudeste"),(VLOOKUP(C297,Tabela1[#All],9,0)*E297),AND(B297="Venda de produtos",H297="Nordeste"),(VLOOKUP(C297,Tabela1[#All],11,0)*E297),AND("Venda de produtos",H297="Norte/Centro-Oeste"),(VLOOKUP(C297,Tabela1[#All],13,0)*E297))))))</f>
        <v/>
      </c>
      <c r="G297" s="16" t="str">
        <f>IF(B297="Compra de estoque",VLOOKUP(C297,Tabela1[#All],4,0)*E297,"")</f>
        <v/>
      </c>
      <c r="H297" s="16"/>
    </row>
    <row r="298" spans="1:8" x14ac:dyDescent="0.25">
      <c r="A298" s="14" t="str">
        <f t="shared" ca="1" si="4"/>
        <v/>
      </c>
      <c r="D298" s="15" t="str">
        <f>IF(C298="","",VLOOKUP(C298,Tabela1[#All],2,0))</f>
        <v/>
      </c>
      <c r="F298" s="16" t="str" cm="1">
        <f t="array" ref="F298">IF(B298="","",(IF(B298="Compra de estoque","",(_xlfn.IFS(AND(B298="Venda de produtos",H298="Sul/Sudeste"),(VLOOKUP(C298,Tabela1[#All],9,0)*E298),AND(B298="Venda de produtos",H298="Nordeste"),(VLOOKUP(C298,Tabela1[#All],11,0)*E298),AND("Venda de produtos",H298="Norte/Centro-Oeste"),(VLOOKUP(C298,Tabela1[#All],13,0)*E298))))))</f>
        <v/>
      </c>
      <c r="G298" s="16" t="str">
        <f>IF(B298="Compra de estoque",VLOOKUP(C298,Tabela1[#All],4,0)*E298,"")</f>
        <v/>
      </c>
      <c r="H298" s="16"/>
    </row>
    <row r="299" spans="1:8" x14ac:dyDescent="0.25">
      <c r="A299" s="14" t="str">
        <f t="shared" ca="1" si="4"/>
        <v/>
      </c>
      <c r="D299" s="15" t="str">
        <f>IF(C299="","",VLOOKUP(C299,Tabela1[#All],2,0))</f>
        <v/>
      </c>
      <c r="F299" s="16" t="str" cm="1">
        <f t="array" ref="F299">IF(B299="","",(IF(B299="Compra de estoque","",(_xlfn.IFS(AND(B299="Venda de produtos",H299="Sul/Sudeste"),(VLOOKUP(C299,Tabela1[#All],9,0)*E299),AND(B299="Venda de produtos",H299="Nordeste"),(VLOOKUP(C299,Tabela1[#All],11,0)*E299),AND("Venda de produtos",H299="Norte/Centro-Oeste"),(VLOOKUP(C299,Tabela1[#All],13,0)*E299))))))</f>
        <v/>
      </c>
      <c r="G299" s="16" t="str">
        <f>IF(B299="Compra de estoque",VLOOKUP(C299,Tabela1[#All],4,0)*E299,"")</f>
        <v/>
      </c>
      <c r="H299" s="16"/>
    </row>
    <row r="300" spans="1:8" x14ac:dyDescent="0.25">
      <c r="A300" s="14" t="str">
        <f t="shared" ca="1" si="4"/>
        <v/>
      </c>
      <c r="D300" s="15" t="str">
        <f>IF(C300="","",VLOOKUP(C300,Tabela1[#All],2,0))</f>
        <v/>
      </c>
      <c r="F300" s="16" t="str" cm="1">
        <f t="array" ref="F300">IF(B300="","",(IF(B300="Compra de estoque","",(_xlfn.IFS(AND(B300="Venda de produtos",H300="Sul/Sudeste"),(VLOOKUP(C300,Tabela1[#All],9,0)*E300),AND(B300="Venda de produtos",H300="Nordeste"),(VLOOKUP(C300,Tabela1[#All],11,0)*E300),AND("Venda de produtos",H300="Norte/Centro-Oeste"),(VLOOKUP(C300,Tabela1[#All],13,0)*E300))))))</f>
        <v/>
      </c>
      <c r="G300" s="16" t="str">
        <f>IF(B300="Compra de estoque",VLOOKUP(C300,Tabela1[#All],4,0)*E300,"")</f>
        <v/>
      </c>
      <c r="H300" s="16"/>
    </row>
    <row r="301" spans="1:8" x14ac:dyDescent="0.25">
      <c r="A301" s="14" t="str">
        <f t="shared" ca="1" si="4"/>
        <v/>
      </c>
      <c r="D301" s="15" t="str">
        <f>IF(C301="","",VLOOKUP(C301,Tabela1[#All],2,0))</f>
        <v/>
      </c>
      <c r="F301" s="16" t="str" cm="1">
        <f t="array" ref="F301">IF(B301="","",(IF(B301="Compra de estoque","",(_xlfn.IFS(AND(B301="Venda de produtos",H301="Sul/Sudeste"),(VLOOKUP(C301,Tabela1[#All],9,0)*E301),AND(B301="Venda de produtos",H301="Nordeste"),(VLOOKUP(C301,Tabela1[#All],11,0)*E301),AND("Venda de produtos",H301="Norte/Centro-Oeste"),(VLOOKUP(C301,Tabela1[#All],13,0)*E301))))))</f>
        <v/>
      </c>
      <c r="G301" s="16" t="str">
        <f>IF(B301="Compra de estoque",VLOOKUP(C301,Tabela1[#All],4,0)*E301,"")</f>
        <v/>
      </c>
      <c r="H301" s="16"/>
    </row>
    <row r="302" spans="1:8" x14ac:dyDescent="0.25">
      <c r="A302" s="14" t="str">
        <f t="shared" ca="1" si="4"/>
        <v/>
      </c>
      <c r="D302" s="15" t="str">
        <f>IF(C302="","",VLOOKUP(C302,Tabela1[#All],2,0))</f>
        <v/>
      </c>
      <c r="F302" s="16" t="str" cm="1">
        <f t="array" ref="F302">IF(B302="","",(IF(B302="Compra de estoque","",(_xlfn.IFS(AND(B302="Venda de produtos",H302="Sul/Sudeste"),(VLOOKUP(C302,Tabela1[#All],9,0)*E302),AND(B302="Venda de produtos",H302="Nordeste"),(VLOOKUP(C302,Tabela1[#All],11,0)*E302),AND("Venda de produtos",H302="Norte/Centro-Oeste"),(VLOOKUP(C302,Tabela1[#All],13,0)*E302))))))</f>
        <v/>
      </c>
      <c r="G302" s="16" t="str">
        <f>IF(B302="Compra de estoque",VLOOKUP(C302,Tabela1[#All],4,0)*E302,"")</f>
        <v/>
      </c>
      <c r="H302" s="16"/>
    </row>
    <row r="303" spans="1:8" x14ac:dyDescent="0.25">
      <c r="A303" s="14" t="str">
        <f t="shared" ca="1" si="4"/>
        <v/>
      </c>
      <c r="D303" s="15" t="str">
        <f>IF(C303="","",VLOOKUP(C303,Tabela1[#All],2,0))</f>
        <v/>
      </c>
      <c r="F303" s="16" t="str" cm="1">
        <f t="array" ref="F303">IF(B303="","",(IF(B303="Compra de estoque","",(_xlfn.IFS(AND(B303="Venda de produtos",H303="Sul/Sudeste"),(VLOOKUP(C303,Tabela1[#All],9,0)*E303),AND(B303="Venda de produtos",H303="Nordeste"),(VLOOKUP(C303,Tabela1[#All],11,0)*E303),AND("Venda de produtos",H303="Norte/Centro-Oeste"),(VLOOKUP(C303,Tabela1[#All],13,0)*E303))))))</f>
        <v/>
      </c>
      <c r="G303" s="16" t="str">
        <f>IF(B303="Compra de estoque",VLOOKUP(C303,Tabela1[#All],4,0)*E303,"")</f>
        <v/>
      </c>
      <c r="H303" s="16"/>
    </row>
    <row r="304" spans="1:8" x14ac:dyDescent="0.25">
      <c r="A304" s="14" t="str">
        <f t="shared" ca="1" si="4"/>
        <v/>
      </c>
      <c r="D304" s="15" t="str">
        <f>IF(C304="","",VLOOKUP(C304,Tabela1[#All],2,0))</f>
        <v/>
      </c>
      <c r="F304" s="16" t="str" cm="1">
        <f t="array" ref="F304">IF(B304="","",(IF(B304="Compra de estoque","",(_xlfn.IFS(AND(B304="Venda de produtos",H304="Sul/Sudeste"),(VLOOKUP(C304,Tabela1[#All],9,0)*E304),AND(B304="Venda de produtos",H304="Nordeste"),(VLOOKUP(C304,Tabela1[#All],11,0)*E304),AND("Venda de produtos",H304="Norte/Centro-Oeste"),(VLOOKUP(C304,Tabela1[#All],13,0)*E304))))))</f>
        <v/>
      </c>
      <c r="G304" s="16" t="str">
        <f>IF(B304="Compra de estoque",VLOOKUP(C304,Tabela1[#All],4,0)*E304,"")</f>
        <v/>
      </c>
      <c r="H304" s="16"/>
    </row>
    <row r="305" spans="1:8" x14ac:dyDescent="0.25">
      <c r="A305" s="14" t="str">
        <f t="shared" ca="1" si="4"/>
        <v/>
      </c>
      <c r="D305" s="15" t="str">
        <f>IF(C305="","",VLOOKUP(C305,Tabela1[#All],2,0))</f>
        <v/>
      </c>
      <c r="F305" s="16" t="str" cm="1">
        <f t="array" ref="F305">IF(B305="","",(IF(B305="Compra de estoque","",(_xlfn.IFS(AND(B305="Venda de produtos",H305="Sul/Sudeste"),(VLOOKUP(C305,Tabela1[#All],9,0)*E305),AND(B305="Venda de produtos",H305="Nordeste"),(VLOOKUP(C305,Tabela1[#All],11,0)*E305),AND("Venda de produtos",H305="Norte/Centro-Oeste"),(VLOOKUP(C305,Tabela1[#All],13,0)*E305))))))</f>
        <v/>
      </c>
      <c r="G305" s="16" t="str">
        <f>IF(B305="Compra de estoque",VLOOKUP(C305,Tabela1[#All],4,0)*E305,"")</f>
        <v/>
      </c>
      <c r="H305" s="16"/>
    </row>
    <row r="306" spans="1:8" x14ac:dyDescent="0.25">
      <c r="A306" s="14" t="str">
        <f t="shared" ca="1" si="4"/>
        <v/>
      </c>
      <c r="D306" s="15" t="str">
        <f>IF(C306="","",VLOOKUP(C306,Tabela1[#All],2,0))</f>
        <v/>
      </c>
      <c r="F306" s="16" t="str" cm="1">
        <f t="array" ref="F306">IF(B306="","",(IF(B306="Compra de estoque","",(_xlfn.IFS(AND(B306="Venda de produtos",H306="Sul/Sudeste"),(VLOOKUP(C306,Tabela1[#All],9,0)*E306),AND(B306="Venda de produtos",H306="Nordeste"),(VLOOKUP(C306,Tabela1[#All],11,0)*E306),AND("Venda de produtos",H306="Norte/Centro-Oeste"),(VLOOKUP(C306,Tabela1[#All],13,0)*E306))))))</f>
        <v/>
      </c>
      <c r="G306" s="16" t="str">
        <f>IF(B306="Compra de estoque",VLOOKUP(C306,Tabela1[#All],4,0)*E306,"")</f>
        <v/>
      </c>
      <c r="H306" s="16"/>
    </row>
    <row r="307" spans="1:8" x14ac:dyDescent="0.25">
      <c r="A307" s="14" t="str">
        <f t="shared" ca="1" si="4"/>
        <v/>
      </c>
      <c r="D307" s="15" t="str">
        <f>IF(C307="","",VLOOKUP(C307,Tabela1[#All],2,0))</f>
        <v/>
      </c>
      <c r="F307" s="16" t="str" cm="1">
        <f t="array" ref="F307">IF(B307="","",(IF(B307="Compra de estoque","",(_xlfn.IFS(AND(B307="Venda de produtos",H307="Sul/Sudeste"),(VLOOKUP(C307,Tabela1[#All],9,0)*E307),AND(B307="Venda de produtos",H307="Nordeste"),(VLOOKUP(C307,Tabela1[#All],11,0)*E307),AND("Venda de produtos",H307="Norte/Centro-Oeste"),(VLOOKUP(C307,Tabela1[#All],13,0)*E307))))))</f>
        <v/>
      </c>
      <c r="G307" s="16" t="str">
        <f>IF(B307="Compra de estoque",VLOOKUP(C307,Tabela1[#All],4,0)*E307,"")</f>
        <v/>
      </c>
      <c r="H307" s="16"/>
    </row>
    <row r="308" spans="1:8" x14ac:dyDescent="0.25">
      <c r="A308" s="14" t="str">
        <f t="shared" ca="1" si="4"/>
        <v/>
      </c>
      <c r="D308" s="15" t="str">
        <f>IF(C308="","",VLOOKUP(C308,Tabela1[#All],2,0))</f>
        <v/>
      </c>
      <c r="F308" s="16" t="str" cm="1">
        <f t="array" ref="F308">IF(B308="","",(IF(B308="Compra de estoque","",(_xlfn.IFS(AND(B308="Venda de produtos",H308="Sul/Sudeste"),(VLOOKUP(C308,Tabela1[#All],9,0)*E308),AND(B308="Venda de produtos",H308="Nordeste"),(VLOOKUP(C308,Tabela1[#All],11,0)*E308),AND("Venda de produtos",H308="Norte/Centro-Oeste"),(VLOOKUP(C308,Tabela1[#All],13,0)*E308))))))</f>
        <v/>
      </c>
      <c r="G308" s="16" t="str">
        <f>IF(B308="Compra de estoque",VLOOKUP(C308,Tabela1[#All],4,0)*E308,"")</f>
        <v/>
      </c>
      <c r="H308" s="16"/>
    </row>
    <row r="309" spans="1:8" x14ac:dyDescent="0.25">
      <c r="A309" s="14" t="str">
        <f t="shared" ca="1" si="4"/>
        <v/>
      </c>
      <c r="D309" s="15" t="str">
        <f>IF(C309="","",VLOOKUP(C309,Tabela1[#All],2,0))</f>
        <v/>
      </c>
      <c r="F309" s="16" t="str" cm="1">
        <f t="array" ref="F309">IF(B309="","",(IF(B309="Compra de estoque","",(_xlfn.IFS(AND(B309="Venda de produtos",H309="Sul/Sudeste"),(VLOOKUP(C309,Tabela1[#All],9,0)*E309),AND(B309="Venda de produtos",H309="Nordeste"),(VLOOKUP(C309,Tabela1[#All],11,0)*E309),AND("Venda de produtos",H309="Norte/Centro-Oeste"),(VLOOKUP(C309,Tabela1[#All],13,0)*E309))))))</f>
        <v/>
      </c>
      <c r="G309" s="16" t="str">
        <f>IF(B309="Compra de estoque",VLOOKUP(C309,Tabela1[#All],4,0)*E309,"")</f>
        <v/>
      </c>
      <c r="H309" s="16"/>
    </row>
    <row r="310" spans="1:8" x14ac:dyDescent="0.25">
      <c r="A310" s="14" t="str">
        <f t="shared" ca="1" si="4"/>
        <v/>
      </c>
      <c r="D310" s="15" t="str">
        <f>IF(C310="","",VLOOKUP(C310,Tabela1[#All],2,0))</f>
        <v/>
      </c>
      <c r="F310" s="16" t="str" cm="1">
        <f t="array" ref="F310">IF(B310="","",(IF(B310="Compra de estoque","",(_xlfn.IFS(AND(B310="Venda de produtos",H310="Sul/Sudeste"),(VLOOKUP(C310,Tabela1[#All],9,0)*E310),AND(B310="Venda de produtos",H310="Nordeste"),(VLOOKUP(C310,Tabela1[#All],11,0)*E310),AND("Venda de produtos",H310="Norte/Centro-Oeste"),(VLOOKUP(C310,Tabela1[#All],13,0)*E310))))))</f>
        <v/>
      </c>
      <c r="G310" s="16" t="str">
        <f>IF(B310="Compra de estoque",VLOOKUP(C310,Tabela1[#All],4,0)*E310,"")</f>
        <v/>
      </c>
      <c r="H310" s="16"/>
    </row>
    <row r="311" spans="1:8" x14ac:dyDescent="0.25">
      <c r="A311" s="14" t="str">
        <f t="shared" ca="1" si="4"/>
        <v/>
      </c>
      <c r="D311" s="15" t="str">
        <f>IF(C311="","",VLOOKUP(C311,Tabela1[#All],2,0))</f>
        <v/>
      </c>
      <c r="F311" s="16" t="str" cm="1">
        <f t="array" ref="F311">IF(B311="","",(IF(B311="Compra de estoque","",(_xlfn.IFS(AND(B311="Venda de produtos",H311="Sul/Sudeste"),(VLOOKUP(C311,Tabela1[#All],9,0)*E311),AND(B311="Venda de produtos",H311="Nordeste"),(VLOOKUP(C311,Tabela1[#All],11,0)*E311),AND("Venda de produtos",H311="Norte/Centro-Oeste"),(VLOOKUP(C311,Tabela1[#All],13,0)*E311))))))</f>
        <v/>
      </c>
      <c r="G311" s="16" t="str">
        <f>IF(B311="Compra de estoque",VLOOKUP(C311,Tabela1[#All],4,0)*E311,"")</f>
        <v/>
      </c>
      <c r="H311" s="16"/>
    </row>
    <row r="312" spans="1:8" x14ac:dyDescent="0.25">
      <c r="A312" s="14" t="str">
        <f t="shared" ca="1" si="4"/>
        <v/>
      </c>
      <c r="D312" s="15" t="str">
        <f>IF(C312="","",VLOOKUP(C312,Tabela1[#All],2,0))</f>
        <v/>
      </c>
      <c r="F312" s="16" t="str" cm="1">
        <f t="array" ref="F312">IF(B312="","",(IF(B312="Compra de estoque","",(_xlfn.IFS(AND(B312="Venda de produtos",H312="Sul/Sudeste"),(VLOOKUP(C312,Tabela1[#All],9,0)*E312),AND(B312="Venda de produtos",H312="Nordeste"),(VLOOKUP(C312,Tabela1[#All],11,0)*E312),AND("Venda de produtos",H312="Norte/Centro-Oeste"),(VLOOKUP(C312,Tabela1[#All],13,0)*E312))))))</f>
        <v/>
      </c>
      <c r="G312" s="16" t="str">
        <f>IF(B312="Compra de estoque",VLOOKUP(C312,Tabela1[#All],4,0)*E312,"")</f>
        <v/>
      </c>
      <c r="H312" s="16"/>
    </row>
    <row r="313" spans="1:8" x14ac:dyDescent="0.25">
      <c r="A313" s="14" t="str">
        <f t="shared" ca="1" si="4"/>
        <v/>
      </c>
      <c r="D313" s="15" t="str">
        <f>IF(C313="","",VLOOKUP(C313,Tabela1[#All],2,0))</f>
        <v/>
      </c>
      <c r="F313" s="16" t="str" cm="1">
        <f t="array" ref="F313">IF(B313="","",(IF(B313="Compra de estoque","",(_xlfn.IFS(AND(B313="Venda de produtos",H313="Sul/Sudeste"),(VLOOKUP(C313,Tabela1[#All],9,0)*E313),AND(B313="Venda de produtos",H313="Nordeste"),(VLOOKUP(C313,Tabela1[#All],11,0)*E313),AND("Venda de produtos",H313="Norte/Centro-Oeste"),(VLOOKUP(C313,Tabela1[#All],13,0)*E313))))))</f>
        <v/>
      </c>
      <c r="G313" s="16" t="str">
        <f>IF(B313="Compra de estoque",VLOOKUP(C313,Tabela1[#All],4,0)*E313,"")</f>
        <v/>
      </c>
      <c r="H313" s="16"/>
    </row>
    <row r="314" spans="1:8" x14ac:dyDescent="0.25">
      <c r="A314" s="14" t="str">
        <f t="shared" ca="1" si="4"/>
        <v/>
      </c>
      <c r="D314" s="15" t="str">
        <f>IF(C314="","",VLOOKUP(C314,Tabela1[#All],2,0))</f>
        <v/>
      </c>
      <c r="F314" s="16" t="str" cm="1">
        <f t="array" ref="F314">IF(B314="","",(IF(B314="Compra de estoque","",(_xlfn.IFS(AND(B314="Venda de produtos",H314="Sul/Sudeste"),(VLOOKUP(C314,Tabela1[#All],9,0)*E314),AND(B314="Venda de produtos",H314="Nordeste"),(VLOOKUP(C314,Tabela1[#All],11,0)*E314),AND("Venda de produtos",H314="Norte/Centro-Oeste"),(VLOOKUP(C314,Tabela1[#All],13,0)*E314))))))</f>
        <v/>
      </c>
      <c r="G314" s="16" t="str">
        <f>IF(B314="Compra de estoque",VLOOKUP(C314,Tabela1[#All],4,0)*E314,"")</f>
        <v/>
      </c>
      <c r="H314" s="16"/>
    </row>
    <row r="315" spans="1:8" x14ac:dyDescent="0.25">
      <c r="A315" s="14" t="str">
        <f t="shared" ca="1" si="4"/>
        <v/>
      </c>
      <c r="D315" s="15" t="str">
        <f>IF(C315="","",VLOOKUP(C315,Tabela1[#All],2,0))</f>
        <v/>
      </c>
      <c r="F315" s="16" t="str" cm="1">
        <f t="array" ref="F315">IF(B315="","",(IF(B315="Compra de estoque","",(_xlfn.IFS(AND(B315="Venda de produtos",H315="Sul/Sudeste"),(VLOOKUP(C315,Tabela1[#All],9,0)*E315),AND(B315="Venda de produtos",H315="Nordeste"),(VLOOKUP(C315,Tabela1[#All],11,0)*E315),AND("Venda de produtos",H315="Norte/Centro-Oeste"),(VLOOKUP(C315,Tabela1[#All],13,0)*E315))))))</f>
        <v/>
      </c>
      <c r="G315" s="16" t="str">
        <f>IF(B315="Compra de estoque",VLOOKUP(C315,Tabela1[#All],4,0)*E315,"")</f>
        <v/>
      </c>
      <c r="H315" s="16"/>
    </row>
    <row r="316" spans="1:8" x14ac:dyDescent="0.25">
      <c r="A316" s="14" t="str">
        <f t="shared" ca="1" si="4"/>
        <v/>
      </c>
      <c r="D316" s="15" t="str">
        <f>IF(C316="","",VLOOKUP(C316,Tabela1[#All],2,0))</f>
        <v/>
      </c>
      <c r="F316" s="16" t="str" cm="1">
        <f t="array" ref="F316">IF(B316="","",(IF(B316="Compra de estoque","",(_xlfn.IFS(AND(B316="Venda de produtos",H316="Sul/Sudeste"),(VLOOKUP(C316,Tabela1[#All],9,0)*E316),AND(B316="Venda de produtos",H316="Nordeste"),(VLOOKUP(C316,Tabela1[#All],11,0)*E316),AND("Venda de produtos",H316="Norte/Centro-Oeste"),(VLOOKUP(C316,Tabela1[#All],13,0)*E316))))))</f>
        <v/>
      </c>
      <c r="G316" s="16" t="str">
        <f>IF(B316="Compra de estoque",VLOOKUP(C316,Tabela1[#All],4,0)*E316,"")</f>
        <v/>
      </c>
      <c r="H316" s="16"/>
    </row>
    <row r="317" spans="1:8" x14ac:dyDescent="0.25">
      <c r="A317" s="14" t="str">
        <f t="shared" ca="1" si="4"/>
        <v/>
      </c>
      <c r="D317" s="15" t="str">
        <f>IF(C317="","",VLOOKUP(C317,Tabela1[#All],2,0))</f>
        <v/>
      </c>
      <c r="F317" s="16" t="str" cm="1">
        <f t="array" ref="F317">IF(B317="","",(IF(B317="Compra de estoque","",(_xlfn.IFS(AND(B317="Venda de produtos",H317="Sul/Sudeste"),(VLOOKUP(C317,Tabela1[#All],9,0)*E317),AND(B317="Venda de produtos",H317="Nordeste"),(VLOOKUP(C317,Tabela1[#All],11,0)*E317),AND("Venda de produtos",H317="Norte/Centro-Oeste"),(VLOOKUP(C317,Tabela1[#All],13,0)*E317))))))</f>
        <v/>
      </c>
      <c r="G317" s="16" t="str">
        <f>IF(B317="Compra de estoque",VLOOKUP(C317,Tabela1[#All],4,0)*E317,"")</f>
        <v/>
      </c>
      <c r="H317" s="16"/>
    </row>
    <row r="318" spans="1:8" x14ac:dyDescent="0.25">
      <c r="A318" s="14" t="str">
        <f t="shared" ca="1" si="4"/>
        <v/>
      </c>
      <c r="D318" s="15" t="str">
        <f>IF(C318="","",VLOOKUP(C318,Tabela1[#All],2,0))</f>
        <v/>
      </c>
      <c r="F318" s="16" t="str" cm="1">
        <f t="array" ref="F318">IF(B318="","",(IF(B318="Compra de estoque","",(_xlfn.IFS(AND(B318="Venda de produtos",H318="Sul/Sudeste"),(VLOOKUP(C318,Tabela1[#All],9,0)*E318),AND(B318="Venda de produtos",H318="Nordeste"),(VLOOKUP(C318,Tabela1[#All],11,0)*E318),AND("Venda de produtos",H318="Norte/Centro-Oeste"),(VLOOKUP(C318,Tabela1[#All],13,0)*E318))))))</f>
        <v/>
      </c>
      <c r="G318" s="16" t="str">
        <f>IF(B318="Compra de estoque",VLOOKUP(C318,Tabela1[#All],4,0)*E318,"")</f>
        <v/>
      </c>
      <c r="H318" s="16"/>
    </row>
    <row r="319" spans="1:8" x14ac:dyDescent="0.25">
      <c r="A319" s="14" t="str">
        <f t="shared" ca="1" si="4"/>
        <v/>
      </c>
      <c r="D319" s="15" t="str">
        <f>IF(C319="","",VLOOKUP(C319,Tabela1[#All],2,0))</f>
        <v/>
      </c>
      <c r="F319" s="16" t="str" cm="1">
        <f t="array" ref="F319">IF(B319="","",(IF(B319="Compra de estoque","",(_xlfn.IFS(AND(B319="Venda de produtos",H319="Sul/Sudeste"),(VLOOKUP(C319,Tabela1[#All],9,0)*E319),AND(B319="Venda de produtos",H319="Nordeste"),(VLOOKUP(C319,Tabela1[#All],11,0)*E319),AND("Venda de produtos",H319="Norte/Centro-Oeste"),(VLOOKUP(C319,Tabela1[#All],13,0)*E319))))))</f>
        <v/>
      </c>
      <c r="G319" s="16" t="str">
        <f>IF(B319="Compra de estoque",VLOOKUP(C319,Tabela1[#All],4,0)*E319,"")</f>
        <v/>
      </c>
      <c r="H319" s="16"/>
    </row>
    <row r="320" spans="1:8" x14ac:dyDescent="0.25">
      <c r="A320" s="14" t="str">
        <f t="shared" ca="1" si="4"/>
        <v/>
      </c>
      <c r="D320" s="15" t="str">
        <f>IF(C320="","",VLOOKUP(C320,Tabela1[#All],2,0))</f>
        <v/>
      </c>
      <c r="F320" s="16" t="str" cm="1">
        <f t="array" ref="F320">IF(B320="","",(IF(B320="Compra de estoque","",(_xlfn.IFS(AND(B320="Venda de produtos",H320="Sul/Sudeste"),(VLOOKUP(C320,Tabela1[#All],9,0)*E320),AND(B320="Venda de produtos",H320="Nordeste"),(VLOOKUP(C320,Tabela1[#All],11,0)*E320),AND("Venda de produtos",H320="Norte/Centro-Oeste"),(VLOOKUP(C320,Tabela1[#All],13,0)*E320))))))</f>
        <v/>
      </c>
      <c r="G320" s="16" t="str">
        <f>IF(B320="Compra de estoque",VLOOKUP(C320,Tabela1[#All],4,0)*E320,"")</f>
        <v/>
      </c>
      <c r="H320" s="16"/>
    </row>
    <row r="321" spans="1:8" x14ac:dyDescent="0.25">
      <c r="A321" s="14" t="str">
        <f t="shared" ca="1" si="4"/>
        <v/>
      </c>
      <c r="D321" s="15" t="str">
        <f>IF(C321="","",VLOOKUP(C321,Tabela1[#All],2,0))</f>
        <v/>
      </c>
      <c r="F321" s="16" t="str" cm="1">
        <f t="array" ref="F321">IF(B321="","",(IF(B321="Compra de estoque","",(_xlfn.IFS(AND(B321="Venda de produtos",H321="Sul/Sudeste"),(VLOOKUP(C321,Tabela1[#All],9,0)*E321),AND(B321="Venda de produtos",H321="Nordeste"),(VLOOKUP(C321,Tabela1[#All],11,0)*E321),AND("Venda de produtos",H321="Norte/Centro-Oeste"),(VLOOKUP(C321,Tabela1[#All],13,0)*E321))))))</f>
        <v/>
      </c>
      <c r="G321" s="16" t="str">
        <f>IF(B321="Compra de estoque",VLOOKUP(C321,Tabela1[#All],4,0)*E321,"")</f>
        <v/>
      </c>
      <c r="H321" s="16"/>
    </row>
    <row r="322" spans="1:8" x14ac:dyDescent="0.25">
      <c r="A322" s="14" t="str">
        <f t="shared" ca="1" si="4"/>
        <v/>
      </c>
      <c r="D322" s="15" t="str">
        <f>IF(C322="","",VLOOKUP(C322,Tabela1[#All],2,0))</f>
        <v/>
      </c>
      <c r="F322" s="16" t="str" cm="1">
        <f t="array" ref="F322">IF(B322="","",(IF(B322="Compra de estoque","",(_xlfn.IFS(AND(B322="Venda de produtos",H322="Sul/Sudeste"),(VLOOKUP(C322,Tabela1[#All],9,0)*E322),AND(B322="Venda de produtos",H322="Nordeste"),(VLOOKUP(C322,Tabela1[#All],11,0)*E322),AND("Venda de produtos",H322="Norte/Centro-Oeste"),(VLOOKUP(C322,Tabela1[#All],13,0)*E322))))))</f>
        <v/>
      </c>
      <c r="G322" s="16" t="str">
        <f>IF(B322="Compra de estoque",VLOOKUP(C322,Tabela1[#All],4,0)*E322,"")</f>
        <v/>
      </c>
      <c r="H322" s="16"/>
    </row>
    <row r="323" spans="1:8" x14ac:dyDescent="0.25">
      <c r="A323" s="14" t="str">
        <f t="shared" ref="A323:A386" ca="1" si="5">IF(C323="","",NOW())</f>
        <v/>
      </c>
      <c r="D323" s="15" t="str">
        <f>IF(C323="","",VLOOKUP(C323,Tabela1[#All],2,0))</f>
        <v/>
      </c>
      <c r="F323" s="16" t="str" cm="1">
        <f t="array" ref="F323">IF(B323="","",(IF(B323="Compra de estoque","",(_xlfn.IFS(AND(B323="Venda de produtos",H323="Sul/Sudeste"),(VLOOKUP(C323,Tabela1[#All],9,0)*E323),AND(B323="Venda de produtos",H323="Nordeste"),(VLOOKUP(C323,Tabela1[#All],11,0)*E323),AND("Venda de produtos",H323="Norte/Centro-Oeste"),(VLOOKUP(C323,Tabela1[#All],13,0)*E323))))))</f>
        <v/>
      </c>
      <c r="G323" s="16" t="str">
        <f>IF(B323="Compra de estoque",VLOOKUP(C323,Tabela1[#All],4,0)*E323,"")</f>
        <v/>
      </c>
      <c r="H323" s="16"/>
    </row>
    <row r="324" spans="1:8" x14ac:dyDescent="0.25">
      <c r="A324" s="14" t="str">
        <f t="shared" ca="1" si="5"/>
        <v/>
      </c>
      <c r="D324" s="15" t="str">
        <f>IF(C324="","",VLOOKUP(C324,Tabela1[#All],2,0))</f>
        <v/>
      </c>
      <c r="F324" s="16" t="str" cm="1">
        <f t="array" ref="F324">IF(B324="","",(IF(B324="Compra de estoque","",(_xlfn.IFS(AND(B324="Venda de produtos",H324="Sul/Sudeste"),(VLOOKUP(C324,Tabela1[#All],9,0)*E324),AND(B324="Venda de produtos",H324="Nordeste"),(VLOOKUP(C324,Tabela1[#All],11,0)*E324),AND("Venda de produtos",H324="Norte/Centro-Oeste"),(VLOOKUP(C324,Tabela1[#All],13,0)*E324))))))</f>
        <v/>
      </c>
      <c r="G324" s="16" t="str">
        <f>IF(B324="Compra de estoque",VLOOKUP(C324,Tabela1[#All],4,0)*E324,"")</f>
        <v/>
      </c>
      <c r="H324" s="16"/>
    </row>
    <row r="325" spans="1:8" x14ac:dyDescent="0.25">
      <c r="A325" s="14" t="str">
        <f t="shared" ca="1" si="5"/>
        <v/>
      </c>
      <c r="D325" s="15" t="str">
        <f>IF(C325="","",VLOOKUP(C325,Tabela1[#All],2,0))</f>
        <v/>
      </c>
      <c r="F325" s="16" t="str" cm="1">
        <f t="array" ref="F325">IF(B325="","",(IF(B325="Compra de estoque","",(_xlfn.IFS(AND(B325="Venda de produtos",H325="Sul/Sudeste"),(VLOOKUP(C325,Tabela1[#All],9,0)*E325),AND(B325="Venda de produtos",H325="Nordeste"),(VLOOKUP(C325,Tabela1[#All],11,0)*E325),AND("Venda de produtos",H325="Norte/Centro-Oeste"),(VLOOKUP(C325,Tabela1[#All],13,0)*E325))))))</f>
        <v/>
      </c>
      <c r="G325" s="16" t="str">
        <f>IF(B325="Compra de estoque",VLOOKUP(C325,Tabela1[#All],4,0)*E325,"")</f>
        <v/>
      </c>
      <c r="H325" s="16"/>
    </row>
    <row r="326" spans="1:8" x14ac:dyDescent="0.25">
      <c r="A326" s="14" t="str">
        <f t="shared" ca="1" si="5"/>
        <v/>
      </c>
      <c r="D326" s="15" t="str">
        <f>IF(C326="","",VLOOKUP(C326,Tabela1[#All],2,0))</f>
        <v/>
      </c>
      <c r="F326" s="16" t="str" cm="1">
        <f t="array" ref="F326">IF(B326="","",(IF(B326="Compra de estoque","",(_xlfn.IFS(AND(B326="Venda de produtos",H326="Sul/Sudeste"),(VLOOKUP(C326,Tabela1[#All],9,0)*E326),AND(B326="Venda de produtos",H326="Nordeste"),(VLOOKUP(C326,Tabela1[#All],11,0)*E326),AND("Venda de produtos",H326="Norte/Centro-Oeste"),(VLOOKUP(C326,Tabela1[#All],13,0)*E326))))))</f>
        <v/>
      </c>
      <c r="G326" s="16" t="str">
        <f>IF(B326="Compra de estoque",VLOOKUP(C326,Tabela1[#All],4,0)*E326,"")</f>
        <v/>
      </c>
      <c r="H326" s="16"/>
    </row>
    <row r="327" spans="1:8" x14ac:dyDescent="0.25">
      <c r="A327" s="14" t="str">
        <f t="shared" ca="1" si="5"/>
        <v/>
      </c>
      <c r="D327" s="15" t="str">
        <f>IF(C327="","",VLOOKUP(C327,Tabela1[#All],2,0))</f>
        <v/>
      </c>
      <c r="F327" s="16" t="str" cm="1">
        <f t="array" ref="F327">IF(B327="","",(IF(B327="Compra de estoque","",(_xlfn.IFS(AND(B327="Venda de produtos",H327="Sul/Sudeste"),(VLOOKUP(C327,Tabela1[#All],9,0)*E327),AND(B327="Venda de produtos",H327="Nordeste"),(VLOOKUP(C327,Tabela1[#All],11,0)*E327),AND("Venda de produtos",H327="Norte/Centro-Oeste"),(VLOOKUP(C327,Tabela1[#All],13,0)*E327))))))</f>
        <v/>
      </c>
      <c r="G327" s="16" t="str">
        <f>IF(B327="Compra de estoque",VLOOKUP(C327,Tabela1[#All],4,0)*E327,"")</f>
        <v/>
      </c>
      <c r="H327" s="16"/>
    </row>
    <row r="328" spans="1:8" x14ac:dyDescent="0.25">
      <c r="A328" s="14" t="str">
        <f t="shared" ca="1" si="5"/>
        <v/>
      </c>
      <c r="D328" s="15" t="str">
        <f>IF(C328="","",VLOOKUP(C328,Tabela1[#All],2,0))</f>
        <v/>
      </c>
      <c r="F328" s="16" t="str" cm="1">
        <f t="array" ref="F328">IF(B328="","",(IF(B328="Compra de estoque","",(_xlfn.IFS(AND(B328="Venda de produtos",H328="Sul/Sudeste"),(VLOOKUP(C328,Tabela1[#All],9,0)*E328),AND(B328="Venda de produtos",H328="Nordeste"),(VLOOKUP(C328,Tabela1[#All],11,0)*E328),AND("Venda de produtos",H328="Norte/Centro-Oeste"),(VLOOKUP(C328,Tabela1[#All],13,0)*E328))))))</f>
        <v/>
      </c>
      <c r="G328" s="16" t="str">
        <f>IF(B328="Compra de estoque",VLOOKUP(C328,Tabela1[#All],4,0)*E328,"")</f>
        <v/>
      </c>
      <c r="H328" s="16"/>
    </row>
    <row r="329" spans="1:8" x14ac:dyDescent="0.25">
      <c r="A329" s="14" t="str">
        <f t="shared" ca="1" si="5"/>
        <v/>
      </c>
      <c r="D329" s="15" t="str">
        <f>IF(C329="","",VLOOKUP(C329,Tabela1[#All],2,0))</f>
        <v/>
      </c>
      <c r="F329" s="16" t="str" cm="1">
        <f t="array" ref="F329">IF(B329="","",(IF(B329="Compra de estoque","",(_xlfn.IFS(AND(B329="Venda de produtos",H329="Sul/Sudeste"),(VLOOKUP(C329,Tabela1[#All],9,0)*E329),AND(B329="Venda de produtos",H329="Nordeste"),(VLOOKUP(C329,Tabela1[#All],11,0)*E329),AND("Venda de produtos",H329="Norte/Centro-Oeste"),(VLOOKUP(C329,Tabela1[#All],13,0)*E329))))))</f>
        <v/>
      </c>
      <c r="G329" s="16" t="str">
        <f>IF(B329="Compra de estoque",VLOOKUP(C329,Tabela1[#All],4,0)*E329,"")</f>
        <v/>
      </c>
      <c r="H329" s="16"/>
    </row>
    <row r="330" spans="1:8" x14ac:dyDescent="0.25">
      <c r="A330" s="14" t="str">
        <f t="shared" ca="1" si="5"/>
        <v/>
      </c>
      <c r="D330" s="15" t="str">
        <f>IF(C330="","",VLOOKUP(C330,Tabela1[#All],2,0))</f>
        <v/>
      </c>
      <c r="F330" s="16" t="str" cm="1">
        <f t="array" ref="F330">IF(B330="","",(IF(B330="Compra de estoque","",(_xlfn.IFS(AND(B330="Venda de produtos",H330="Sul/Sudeste"),(VLOOKUP(C330,Tabela1[#All],9,0)*E330),AND(B330="Venda de produtos",H330="Nordeste"),(VLOOKUP(C330,Tabela1[#All],11,0)*E330),AND("Venda de produtos",H330="Norte/Centro-Oeste"),(VLOOKUP(C330,Tabela1[#All],13,0)*E330))))))</f>
        <v/>
      </c>
      <c r="G330" s="16" t="str">
        <f>IF(B330="Compra de estoque",VLOOKUP(C330,Tabela1[#All],4,0)*E330,"")</f>
        <v/>
      </c>
      <c r="H330" s="16"/>
    </row>
    <row r="331" spans="1:8" x14ac:dyDescent="0.25">
      <c r="A331" s="14" t="str">
        <f t="shared" ca="1" si="5"/>
        <v/>
      </c>
      <c r="D331" s="15" t="str">
        <f>IF(C331="","",VLOOKUP(C331,Tabela1[#All],2,0))</f>
        <v/>
      </c>
      <c r="F331" s="16" t="str" cm="1">
        <f t="array" ref="F331">IF(B331="","",(IF(B331="Compra de estoque","",(_xlfn.IFS(AND(B331="Venda de produtos",H331="Sul/Sudeste"),(VLOOKUP(C331,Tabela1[#All],9,0)*E331),AND(B331="Venda de produtos",H331="Nordeste"),(VLOOKUP(C331,Tabela1[#All],11,0)*E331),AND("Venda de produtos",H331="Norte/Centro-Oeste"),(VLOOKUP(C331,Tabela1[#All],13,0)*E331))))))</f>
        <v/>
      </c>
      <c r="G331" s="16" t="str">
        <f>IF(B331="Compra de estoque",VLOOKUP(C331,Tabela1[#All],4,0)*E331,"")</f>
        <v/>
      </c>
      <c r="H331" s="16"/>
    </row>
    <row r="332" spans="1:8" x14ac:dyDescent="0.25">
      <c r="A332" s="14" t="str">
        <f t="shared" ca="1" si="5"/>
        <v/>
      </c>
      <c r="D332" s="15" t="str">
        <f>IF(C332="","",VLOOKUP(C332,Tabela1[#All],2,0))</f>
        <v/>
      </c>
      <c r="F332" s="16" t="str" cm="1">
        <f t="array" ref="F332">IF(B332="","",(IF(B332="Compra de estoque","",(_xlfn.IFS(AND(B332="Venda de produtos",H332="Sul/Sudeste"),(VLOOKUP(C332,Tabela1[#All],9,0)*E332),AND(B332="Venda de produtos",H332="Nordeste"),(VLOOKUP(C332,Tabela1[#All],11,0)*E332),AND("Venda de produtos",H332="Norte/Centro-Oeste"),(VLOOKUP(C332,Tabela1[#All],13,0)*E332))))))</f>
        <v/>
      </c>
      <c r="G332" s="16" t="str">
        <f>IF(B332="Compra de estoque",VLOOKUP(C332,Tabela1[#All],4,0)*E332,"")</f>
        <v/>
      </c>
      <c r="H332" s="16"/>
    </row>
    <row r="333" spans="1:8" x14ac:dyDescent="0.25">
      <c r="A333" s="14" t="str">
        <f t="shared" ca="1" si="5"/>
        <v/>
      </c>
      <c r="D333" s="15" t="str">
        <f>IF(C333="","",VLOOKUP(C333,Tabela1[#All],2,0))</f>
        <v/>
      </c>
      <c r="F333" s="16" t="str" cm="1">
        <f t="array" ref="F333">IF(B333="","",(IF(B333="Compra de estoque","",(_xlfn.IFS(AND(B333="Venda de produtos",H333="Sul/Sudeste"),(VLOOKUP(C333,Tabela1[#All],9,0)*E333),AND(B333="Venda de produtos",H333="Nordeste"),(VLOOKUP(C333,Tabela1[#All],11,0)*E333),AND("Venda de produtos",H333="Norte/Centro-Oeste"),(VLOOKUP(C333,Tabela1[#All],13,0)*E333))))))</f>
        <v/>
      </c>
      <c r="G333" s="16" t="str">
        <f>IF(B333="Compra de estoque",VLOOKUP(C333,Tabela1[#All],4,0)*E333,"")</f>
        <v/>
      </c>
      <c r="H333" s="16"/>
    </row>
    <row r="334" spans="1:8" x14ac:dyDescent="0.25">
      <c r="A334" s="14" t="str">
        <f t="shared" ca="1" si="5"/>
        <v/>
      </c>
      <c r="D334" s="15" t="str">
        <f>IF(C334="","",VLOOKUP(C334,Tabela1[#All],2,0))</f>
        <v/>
      </c>
      <c r="F334" s="16" t="str" cm="1">
        <f t="array" ref="F334">IF(B334="","",(IF(B334="Compra de estoque","",(_xlfn.IFS(AND(B334="Venda de produtos",H334="Sul/Sudeste"),(VLOOKUP(C334,Tabela1[#All],9,0)*E334),AND(B334="Venda de produtos",H334="Nordeste"),(VLOOKUP(C334,Tabela1[#All],11,0)*E334),AND("Venda de produtos",H334="Norte/Centro-Oeste"),(VLOOKUP(C334,Tabela1[#All],13,0)*E334))))))</f>
        <v/>
      </c>
      <c r="G334" s="16" t="str">
        <f>IF(B334="Compra de estoque",VLOOKUP(C334,Tabela1[#All],4,0)*E334,"")</f>
        <v/>
      </c>
      <c r="H334" s="16"/>
    </row>
    <row r="335" spans="1:8" x14ac:dyDescent="0.25">
      <c r="A335" s="14" t="str">
        <f t="shared" ca="1" si="5"/>
        <v/>
      </c>
      <c r="D335" s="15" t="str">
        <f>IF(C335="","",VLOOKUP(C335,Tabela1[#All],2,0))</f>
        <v/>
      </c>
      <c r="F335" s="16" t="str" cm="1">
        <f t="array" ref="F335">IF(B335="","",(IF(B335="Compra de estoque","",(_xlfn.IFS(AND(B335="Venda de produtos",H335="Sul/Sudeste"),(VLOOKUP(C335,Tabela1[#All],9,0)*E335),AND(B335="Venda de produtos",H335="Nordeste"),(VLOOKUP(C335,Tabela1[#All],11,0)*E335),AND("Venda de produtos",H335="Norte/Centro-Oeste"),(VLOOKUP(C335,Tabela1[#All],13,0)*E335))))))</f>
        <v/>
      </c>
      <c r="G335" s="16" t="str">
        <f>IF(B335="Compra de estoque",VLOOKUP(C335,Tabela1[#All],4,0)*E335,"")</f>
        <v/>
      </c>
      <c r="H335" s="16"/>
    </row>
    <row r="336" spans="1:8" x14ac:dyDescent="0.25">
      <c r="A336" s="14" t="str">
        <f t="shared" ca="1" si="5"/>
        <v/>
      </c>
      <c r="D336" s="15" t="str">
        <f>IF(C336="","",VLOOKUP(C336,Tabela1[#All],2,0))</f>
        <v/>
      </c>
      <c r="F336" s="16" t="str" cm="1">
        <f t="array" ref="F336">IF(B336="","",(IF(B336="Compra de estoque","",(_xlfn.IFS(AND(B336="Venda de produtos",H336="Sul/Sudeste"),(VLOOKUP(C336,Tabela1[#All],9,0)*E336),AND(B336="Venda de produtos",H336="Nordeste"),(VLOOKUP(C336,Tabela1[#All],11,0)*E336),AND("Venda de produtos",H336="Norte/Centro-Oeste"),(VLOOKUP(C336,Tabela1[#All],13,0)*E336))))))</f>
        <v/>
      </c>
      <c r="G336" s="16" t="str">
        <f>IF(B336="Compra de estoque",VLOOKUP(C336,Tabela1[#All],4,0)*E336,"")</f>
        <v/>
      </c>
      <c r="H336" s="16"/>
    </row>
    <row r="337" spans="1:8" x14ac:dyDescent="0.25">
      <c r="A337" s="14" t="str">
        <f t="shared" ca="1" si="5"/>
        <v/>
      </c>
      <c r="D337" s="15" t="str">
        <f>IF(C337="","",VLOOKUP(C337,Tabela1[#All],2,0))</f>
        <v/>
      </c>
      <c r="F337" s="16" t="str" cm="1">
        <f t="array" ref="F337">IF(B337="","",(IF(B337="Compra de estoque","",(_xlfn.IFS(AND(B337="Venda de produtos",H337="Sul/Sudeste"),(VLOOKUP(C337,Tabela1[#All],9,0)*E337),AND(B337="Venda de produtos",H337="Nordeste"),(VLOOKUP(C337,Tabela1[#All],11,0)*E337),AND("Venda de produtos",H337="Norte/Centro-Oeste"),(VLOOKUP(C337,Tabela1[#All],13,0)*E337))))))</f>
        <v/>
      </c>
      <c r="G337" s="16" t="str">
        <f>IF(B337="Compra de estoque",VLOOKUP(C337,Tabela1[#All],4,0)*E337,"")</f>
        <v/>
      </c>
      <c r="H337" s="16"/>
    </row>
    <row r="338" spans="1:8" x14ac:dyDescent="0.25">
      <c r="A338" s="14" t="str">
        <f t="shared" ca="1" si="5"/>
        <v/>
      </c>
      <c r="D338" s="15" t="str">
        <f>IF(C338="","",VLOOKUP(C338,Tabela1[#All],2,0))</f>
        <v/>
      </c>
      <c r="F338" s="16" t="str" cm="1">
        <f t="array" ref="F338">IF(B338="","",(IF(B338="Compra de estoque","",(_xlfn.IFS(AND(B338="Venda de produtos",H338="Sul/Sudeste"),(VLOOKUP(C338,Tabela1[#All],9,0)*E338),AND(B338="Venda de produtos",H338="Nordeste"),(VLOOKUP(C338,Tabela1[#All],11,0)*E338),AND("Venda de produtos",H338="Norte/Centro-Oeste"),(VLOOKUP(C338,Tabela1[#All],13,0)*E338))))))</f>
        <v/>
      </c>
      <c r="G338" s="16" t="str">
        <f>IF(B338="Compra de estoque",VLOOKUP(C338,Tabela1[#All],4,0)*E338,"")</f>
        <v/>
      </c>
      <c r="H338" s="16"/>
    </row>
    <row r="339" spans="1:8" x14ac:dyDescent="0.25">
      <c r="A339" s="14" t="str">
        <f t="shared" ca="1" si="5"/>
        <v/>
      </c>
      <c r="D339" s="15" t="str">
        <f>IF(C339="","",VLOOKUP(C339,Tabela1[#All],2,0))</f>
        <v/>
      </c>
      <c r="F339" s="16" t="str" cm="1">
        <f t="array" ref="F339">IF(B339="","",(IF(B339="Compra de estoque","",(_xlfn.IFS(AND(B339="Venda de produtos",H339="Sul/Sudeste"),(VLOOKUP(C339,Tabela1[#All],9,0)*E339),AND(B339="Venda de produtos",H339="Nordeste"),(VLOOKUP(C339,Tabela1[#All],11,0)*E339),AND("Venda de produtos",H339="Norte/Centro-Oeste"),(VLOOKUP(C339,Tabela1[#All],13,0)*E339))))))</f>
        <v/>
      </c>
      <c r="G339" s="16" t="str">
        <f>IF(B339="Compra de estoque",VLOOKUP(C339,Tabela1[#All],4,0)*E339,"")</f>
        <v/>
      </c>
      <c r="H339" s="16"/>
    </row>
    <row r="340" spans="1:8" x14ac:dyDescent="0.25">
      <c r="A340" s="14" t="str">
        <f t="shared" ca="1" si="5"/>
        <v/>
      </c>
      <c r="D340" s="15" t="str">
        <f>IF(C340="","",VLOOKUP(C340,Tabela1[#All],2,0))</f>
        <v/>
      </c>
      <c r="F340" s="16" t="str" cm="1">
        <f t="array" ref="F340">IF(B340="","",(IF(B340="Compra de estoque","",(_xlfn.IFS(AND(B340="Venda de produtos",H340="Sul/Sudeste"),(VLOOKUP(C340,Tabela1[#All],9,0)*E340),AND(B340="Venda de produtos",H340="Nordeste"),(VLOOKUP(C340,Tabela1[#All],11,0)*E340),AND("Venda de produtos",H340="Norte/Centro-Oeste"),(VLOOKUP(C340,Tabela1[#All],13,0)*E340))))))</f>
        <v/>
      </c>
      <c r="G340" s="16" t="str">
        <f>IF(B340="Compra de estoque",VLOOKUP(C340,Tabela1[#All],4,0)*E340,"")</f>
        <v/>
      </c>
      <c r="H340" s="16"/>
    </row>
    <row r="341" spans="1:8" x14ac:dyDescent="0.25">
      <c r="A341" s="14" t="str">
        <f t="shared" ca="1" si="5"/>
        <v/>
      </c>
      <c r="D341" s="15" t="str">
        <f>IF(C341="","",VLOOKUP(C341,Tabela1[#All],2,0))</f>
        <v/>
      </c>
      <c r="F341" s="16" t="str" cm="1">
        <f t="array" ref="F341">IF(B341="","",(IF(B341="Compra de estoque","",(_xlfn.IFS(AND(B341="Venda de produtos",H341="Sul/Sudeste"),(VLOOKUP(C341,Tabela1[#All],9,0)*E341),AND(B341="Venda de produtos",H341="Nordeste"),(VLOOKUP(C341,Tabela1[#All],11,0)*E341),AND("Venda de produtos",H341="Norte/Centro-Oeste"),(VLOOKUP(C341,Tabela1[#All],13,0)*E341))))))</f>
        <v/>
      </c>
      <c r="G341" s="16" t="str">
        <f>IF(B341="Compra de estoque",VLOOKUP(C341,Tabela1[#All],4,0)*E341,"")</f>
        <v/>
      </c>
      <c r="H341" s="16"/>
    </row>
    <row r="342" spans="1:8" x14ac:dyDescent="0.25">
      <c r="A342" s="14" t="str">
        <f t="shared" ca="1" si="5"/>
        <v/>
      </c>
      <c r="D342" s="15" t="str">
        <f>IF(C342="","",VLOOKUP(C342,Tabela1[#All],2,0))</f>
        <v/>
      </c>
      <c r="F342" s="16" t="str" cm="1">
        <f t="array" ref="F342">IF(B342="","",(IF(B342="Compra de estoque","",(_xlfn.IFS(AND(B342="Venda de produtos",H342="Sul/Sudeste"),(VLOOKUP(C342,Tabela1[#All],9,0)*E342),AND(B342="Venda de produtos",H342="Nordeste"),(VLOOKUP(C342,Tabela1[#All],11,0)*E342),AND("Venda de produtos",H342="Norte/Centro-Oeste"),(VLOOKUP(C342,Tabela1[#All],13,0)*E342))))))</f>
        <v/>
      </c>
      <c r="G342" s="16" t="str">
        <f>IF(B342="Compra de estoque",VLOOKUP(C342,Tabela1[#All],4,0)*E342,"")</f>
        <v/>
      </c>
      <c r="H342" s="16"/>
    </row>
    <row r="343" spans="1:8" x14ac:dyDescent="0.25">
      <c r="A343" s="14" t="str">
        <f t="shared" ca="1" si="5"/>
        <v/>
      </c>
      <c r="D343" s="15" t="str">
        <f>IF(C343="","",VLOOKUP(C343,Tabela1[#All],2,0))</f>
        <v/>
      </c>
      <c r="F343" s="16" t="str" cm="1">
        <f t="array" ref="F343">IF(B343="","",(IF(B343="Compra de estoque","",(_xlfn.IFS(AND(B343="Venda de produtos",H343="Sul/Sudeste"),(VLOOKUP(C343,Tabela1[#All],9,0)*E343),AND(B343="Venda de produtos",H343="Nordeste"),(VLOOKUP(C343,Tabela1[#All],11,0)*E343),AND("Venda de produtos",H343="Norte/Centro-Oeste"),(VLOOKUP(C343,Tabela1[#All],13,0)*E343))))))</f>
        <v/>
      </c>
      <c r="G343" s="16" t="str">
        <f>IF(B343="Compra de estoque",VLOOKUP(C343,Tabela1[#All],4,0)*E343,"")</f>
        <v/>
      </c>
      <c r="H343" s="16"/>
    </row>
    <row r="344" spans="1:8" x14ac:dyDescent="0.25">
      <c r="A344" s="14" t="str">
        <f t="shared" ca="1" si="5"/>
        <v/>
      </c>
      <c r="D344" s="15" t="str">
        <f>IF(C344="","",VLOOKUP(C344,Tabela1[#All],2,0))</f>
        <v/>
      </c>
      <c r="F344" s="16" t="str" cm="1">
        <f t="array" ref="F344">IF(B344="","",(IF(B344="Compra de estoque","",(_xlfn.IFS(AND(B344="Venda de produtos",H344="Sul/Sudeste"),(VLOOKUP(C344,Tabela1[#All],9,0)*E344),AND(B344="Venda de produtos",H344="Nordeste"),(VLOOKUP(C344,Tabela1[#All],11,0)*E344),AND("Venda de produtos",H344="Norte/Centro-Oeste"),(VLOOKUP(C344,Tabela1[#All],13,0)*E344))))))</f>
        <v/>
      </c>
      <c r="G344" s="16" t="str">
        <f>IF(B344="Compra de estoque",VLOOKUP(C344,Tabela1[#All],4,0)*E344,"")</f>
        <v/>
      </c>
      <c r="H344" s="16"/>
    </row>
    <row r="345" spans="1:8" x14ac:dyDescent="0.25">
      <c r="A345" s="14" t="str">
        <f t="shared" ca="1" si="5"/>
        <v/>
      </c>
      <c r="D345" s="15" t="str">
        <f>IF(C345="","",VLOOKUP(C345,Tabela1[#All],2,0))</f>
        <v/>
      </c>
      <c r="F345" s="16" t="str" cm="1">
        <f t="array" ref="F345">IF(B345="","",(IF(B345="Compra de estoque","",(_xlfn.IFS(AND(B345="Venda de produtos",H345="Sul/Sudeste"),(VLOOKUP(C345,Tabela1[#All],9,0)*E345),AND(B345="Venda de produtos",H345="Nordeste"),(VLOOKUP(C345,Tabela1[#All],11,0)*E345),AND("Venda de produtos",H345="Norte/Centro-Oeste"),(VLOOKUP(C345,Tabela1[#All],13,0)*E345))))))</f>
        <v/>
      </c>
      <c r="G345" s="16" t="str">
        <f>IF(B345="Compra de estoque",VLOOKUP(C345,Tabela1[#All],4,0)*E345,"")</f>
        <v/>
      </c>
      <c r="H345" s="16"/>
    </row>
    <row r="346" spans="1:8" x14ac:dyDescent="0.25">
      <c r="A346" s="14" t="str">
        <f t="shared" ca="1" si="5"/>
        <v/>
      </c>
      <c r="D346" s="15" t="str">
        <f>IF(C346="","",VLOOKUP(C346,Tabela1[#All],2,0))</f>
        <v/>
      </c>
      <c r="F346" s="16" t="str" cm="1">
        <f t="array" ref="F346">IF(B346="","",(IF(B346="Compra de estoque","",(_xlfn.IFS(AND(B346="Venda de produtos",H346="Sul/Sudeste"),(VLOOKUP(C346,Tabela1[#All],9,0)*E346),AND(B346="Venda de produtos",H346="Nordeste"),(VLOOKUP(C346,Tabela1[#All],11,0)*E346),AND("Venda de produtos",H346="Norte/Centro-Oeste"),(VLOOKUP(C346,Tabela1[#All],13,0)*E346))))))</f>
        <v/>
      </c>
      <c r="G346" s="16" t="str">
        <f>IF(B346="Compra de estoque",VLOOKUP(C346,Tabela1[#All],4,0)*E346,"")</f>
        <v/>
      </c>
      <c r="H346" s="16"/>
    </row>
    <row r="347" spans="1:8" x14ac:dyDescent="0.25">
      <c r="A347" s="14" t="str">
        <f t="shared" ca="1" si="5"/>
        <v/>
      </c>
      <c r="D347" s="15" t="str">
        <f>IF(C347="","",VLOOKUP(C347,Tabela1[#All],2,0))</f>
        <v/>
      </c>
      <c r="F347" s="16" t="str" cm="1">
        <f t="array" ref="F347">IF(B347="","",(IF(B347="Compra de estoque","",(_xlfn.IFS(AND(B347="Venda de produtos",H347="Sul/Sudeste"),(VLOOKUP(C347,Tabela1[#All],9,0)*E347),AND(B347="Venda de produtos",H347="Nordeste"),(VLOOKUP(C347,Tabela1[#All],11,0)*E347),AND("Venda de produtos",H347="Norte/Centro-Oeste"),(VLOOKUP(C347,Tabela1[#All],13,0)*E347))))))</f>
        <v/>
      </c>
      <c r="G347" s="16" t="str">
        <f>IF(B347="Compra de estoque",VLOOKUP(C347,Tabela1[#All],4,0)*E347,"")</f>
        <v/>
      </c>
      <c r="H347" s="16"/>
    </row>
    <row r="348" spans="1:8" x14ac:dyDescent="0.25">
      <c r="A348" s="14" t="str">
        <f t="shared" ca="1" si="5"/>
        <v/>
      </c>
      <c r="D348" s="15" t="str">
        <f>IF(C348="","",VLOOKUP(C348,Tabela1[#All],2,0))</f>
        <v/>
      </c>
      <c r="F348" s="16" t="str" cm="1">
        <f t="array" ref="F348">IF(B348="","",(IF(B348="Compra de estoque","",(_xlfn.IFS(AND(B348="Venda de produtos",H348="Sul/Sudeste"),(VLOOKUP(C348,Tabela1[#All],9,0)*E348),AND(B348="Venda de produtos",H348="Nordeste"),(VLOOKUP(C348,Tabela1[#All],11,0)*E348),AND("Venda de produtos",H348="Norte/Centro-Oeste"),(VLOOKUP(C348,Tabela1[#All],13,0)*E348))))))</f>
        <v/>
      </c>
      <c r="G348" s="16" t="str">
        <f>IF(B348="Compra de estoque",VLOOKUP(C348,Tabela1[#All],4,0)*E348,"")</f>
        <v/>
      </c>
      <c r="H348" s="16"/>
    </row>
    <row r="349" spans="1:8" x14ac:dyDescent="0.25">
      <c r="A349" s="14" t="str">
        <f t="shared" ca="1" si="5"/>
        <v/>
      </c>
      <c r="D349" s="15" t="str">
        <f>IF(C349="","",VLOOKUP(C349,Tabela1[#All],2,0))</f>
        <v/>
      </c>
      <c r="F349" s="16" t="str" cm="1">
        <f t="array" ref="F349">IF(B349="","",(IF(B349="Compra de estoque","",(_xlfn.IFS(AND(B349="Venda de produtos",H349="Sul/Sudeste"),(VLOOKUP(C349,Tabela1[#All],9,0)*E349),AND(B349="Venda de produtos",H349="Nordeste"),(VLOOKUP(C349,Tabela1[#All],11,0)*E349),AND("Venda de produtos",H349="Norte/Centro-Oeste"),(VLOOKUP(C349,Tabela1[#All],13,0)*E349))))))</f>
        <v/>
      </c>
      <c r="G349" s="16" t="str">
        <f>IF(B349="Compra de estoque",VLOOKUP(C349,Tabela1[#All],4,0)*E349,"")</f>
        <v/>
      </c>
      <c r="H349" s="16"/>
    </row>
    <row r="350" spans="1:8" x14ac:dyDescent="0.25">
      <c r="A350" s="14" t="str">
        <f t="shared" ca="1" si="5"/>
        <v/>
      </c>
      <c r="D350" s="15" t="str">
        <f>IF(C350="","",VLOOKUP(C350,Tabela1[#All],2,0))</f>
        <v/>
      </c>
      <c r="F350" s="16" t="str" cm="1">
        <f t="array" ref="F350">IF(B350="","",(IF(B350="Compra de estoque","",(_xlfn.IFS(AND(B350="Venda de produtos",H350="Sul/Sudeste"),(VLOOKUP(C350,Tabela1[#All],9,0)*E350),AND(B350="Venda de produtos",H350="Nordeste"),(VLOOKUP(C350,Tabela1[#All],11,0)*E350),AND("Venda de produtos",H350="Norte/Centro-Oeste"),(VLOOKUP(C350,Tabela1[#All],13,0)*E350))))))</f>
        <v/>
      </c>
      <c r="G350" s="16" t="str">
        <f>IF(B350="Compra de estoque",VLOOKUP(C350,Tabela1[#All],4,0)*E350,"")</f>
        <v/>
      </c>
      <c r="H350" s="16"/>
    </row>
    <row r="351" spans="1:8" x14ac:dyDescent="0.25">
      <c r="A351" s="14" t="str">
        <f t="shared" ca="1" si="5"/>
        <v/>
      </c>
      <c r="D351" s="15" t="str">
        <f>IF(C351="","",VLOOKUP(C351,Tabela1[#All],2,0))</f>
        <v/>
      </c>
      <c r="F351" s="16" t="str" cm="1">
        <f t="array" ref="F351">IF(B351="","",(IF(B351="Compra de estoque","",(_xlfn.IFS(AND(B351="Venda de produtos",H351="Sul/Sudeste"),(VLOOKUP(C351,Tabela1[#All],9,0)*E351),AND(B351="Venda de produtos",H351="Nordeste"),(VLOOKUP(C351,Tabela1[#All],11,0)*E351),AND("Venda de produtos",H351="Norte/Centro-Oeste"),(VLOOKUP(C351,Tabela1[#All],13,0)*E351))))))</f>
        <v/>
      </c>
      <c r="G351" s="16" t="str">
        <f>IF(B351="Compra de estoque",VLOOKUP(C351,Tabela1[#All],4,0)*E351,"")</f>
        <v/>
      </c>
      <c r="H351" s="16"/>
    </row>
    <row r="352" spans="1:8" x14ac:dyDescent="0.25">
      <c r="A352" s="14" t="str">
        <f t="shared" ca="1" si="5"/>
        <v/>
      </c>
      <c r="D352" s="15" t="str">
        <f>IF(C352="","",VLOOKUP(C352,Tabela1[#All],2,0))</f>
        <v/>
      </c>
      <c r="F352" s="16" t="str" cm="1">
        <f t="array" ref="F352">IF(B352="","",(IF(B352="Compra de estoque","",(_xlfn.IFS(AND(B352="Venda de produtos",H352="Sul/Sudeste"),(VLOOKUP(C352,Tabela1[#All],9,0)*E352),AND(B352="Venda de produtos",H352="Nordeste"),(VLOOKUP(C352,Tabela1[#All],11,0)*E352),AND("Venda de produtos",H352="Norte/Centro-Oeste"),(VLOOKUP(C352,Tabela1[#All],13,0)*E352))))))</f>
        <v/>
      </c>
      <c r="G352" s="16" t="str">
        <f>IF(B352="Compra de estoque",VLOOKUP(C352,Tabela1[#All],4,0)*E352,"")</f>
        <v/>
      </c>
      <c r="H352" s="16"/>
    </row>
    <row r="353" spans="1:8" x14ac:dyDescent="0.25">
      <c r="A353" s="14" t="str">
        <f t="shared" ca="1" si="5"/>
        <v/>
      </c>
      <c r="D353" s="15" t="str">
        <f>IF(C353="","",VLOOKUP(C353,Tabela1[#All],2,0))</f>
        <v/>
      </c>
      <c r="F353" s="16" t="str" cm="1">
        <f t="array" ref="F353">IF(B353="","",(IF(B353="Compra de estoque","",(_xlfn.IFS(AND(B353="Venda de produtos",H353="Sul/Sudeste"),(VLOOKUP(C353,Tabela1[#All],9,0)*E353),AND(B353="Venda de produtos",H353="Nordeste"),(VLOOKUP(C353,Tabela1[#All],11,0)*E353),AND("Venda de produtos",H353="Norte/Centro-Oeste"),(VLOOKUP(C353,Tabela1[#All],13,0)*E353))))))</f>
        <v/>
      </c>
      <c r="G353" s="16" t="str">
        <f>IF(B353="Compra de estoque",VLOOKUP(C353,Tabela1[#All],4,0)*E353,"")</f>
        <v/>
      </c>
      <c r="H353" s="16"/>
    </row>
    <row r="354" spans="1:8" x14ac:dyDescent="0.25">
      <c r="A354" s="14" t="str">
        <f t="shared" ca="1" si="5"/>
        <v/>
      </c>
      <c r="D354" s="15" t="str">
        <f>IF(C354="","",VLOOKUP(C354,Tabela1[#All],2,0))</f>
        <v/>
      </c>
      <c r="F354" s="16" t="str" cm="1">
        <f t="array" ref="F354">IF(B354="","",(IF(B354="Compra de estoque","",(_xlfn.IFS(AND(B354="Venda de produtos",H354="Sul/Sudeste"),(VLOOKUP(C354,Tabela1[#All],9,0)*E354),AND(B354="Venda de produtos",H354="Nordeste"),(VLOOKUP(C354,Tabela1[#All],11,0)*E354),AND("Venda de produtos",H354="Norte/Centro-Oeste"),(VLOOKUP(C354,Tabela1[#All],13,0)*E354))))))</f>
        <v/>
      </c>
      <c r="G354" s="16" t="str">
        <f>IF(B354="Compra de estoque",VLOOKUP(C354,Tabela1[#All],4,0)*E354,"")</f>
        <v/>
      </c>
      <c r="H354" s="16"/>
    </row>
    <row r="355" spans="1:8" x14ac:dyDescent="0.25">
      <c r="A355" s="14" t="str">
        <f t="shared" ca="1" si="5"/>
        <v/>
      </c>
      <c r="D355" s="15" t="str">
        <f>IF(C355="","",VLOOKUP(C355,Tabela1[#All],2,0))</f>
        <v/>
      </c>
      <c r="F355" s="16" t="str" cm="1">
        <f t="array" ref="F355">IF(B355="","",(IF(B355="Compra de estoque","",(_xlfn.IFS(AND(B355="Venda de produtos",H355="Sul/Sudeste"),(VLOOKUP(C355,Tabela1[#All],9,0)*E355),AND(B355="Venda de produtos",H355="Nordeste"),(VLOOKUP(C355,Tabela1[#All],11,0)*E355),AND("Venda de produtos",H355="Norte/Centro-Oeste"),(VLOOKUP(C355,Tabela1[#All],13,0)*E355))))))</f>
        <v/>
      </c>
      <c r="G355" s="16" t="str">
        <f>IF(B355="Compra de estoque",VLOOKUP(C355,Tabela1[#All],4,0)*E355,"")</f>
        <v/>
      </c>
      <c r="H355" s="16"/>
    </row>
    <row r="356" spans="1:8" x14ac:dyDescent="0.25">
      <c r="A356" s="14" t="str">
        <f t="shared" ca="1" si="5"/>
        <v/>
      </c>
      <c r="D356" s="15" t="str">
        <f>IF(C356="","",VLOOKUP(C356,Tabela1[#All],2,0))</f>
        <v/>
      </c>
      <c r="F356" s="16" t="str" cm="1">
        <f t="array" ref="F356">IF(B356="","",(IF(B356="Compra de estoque","",(_xlfn.IFS(AND(B356="Venda de produtos",H356="Sul/Sudeste"),(VLOOKUP(C356,Tabela1[#All],9,0)*E356),AND(B356="Venda de produtos",H356="Nordeste"),(VLOOKUP(C356,Tabela1[#All],11,0)*E356),AND("Venda de produtos",H356="Norte/Centro-Oeste"),(VLOOKUP(C356,Tabela1[#All],13,0)*E356))))))</f>
        <v/>
      </c>
      <c r="G356" s="16" t="str">
        <f>IF(B356="Compra de estoque",VLOOKUP(C356,Tabela1[#All],4,0)*E356,"")</f>
        <v/>
      </c>
      <c r="H356" s="16"/>
    </row>
    <row r="357" spans="1:8" x14ac:dyDescent="0.25">
      <c r="A357" s="14" t="str">
        <f t="shared" ca="1" si="5"/>
        <v/>
      </c>
      <c r="D357" s="15" t="str">
        <f>IF(C357="","",VLOOKUP(C357,Tabela1[#All],2,0))</f>
        <v/>
      </c>
      <c r="F357" s="16" t="str" cm="1">
        <f t="array" ref="F357">IF(B357="","",(IF(B357="Compra de estoque","",(_xlfn.IFS(AND(B357="Venda de produtos",H357="Sul/Sudeste"),(VLOOKUP(C357,Tabela1[#All],9,0)*E357),AND(B357="Venda de produtos",H357="Nordeste"),(VLOOKUP(C357,Tabela1[#All],11,0)*E357),AND("Venda de produtos",H357="Norte/Centro-Oeste"),(VLOOKUP(C357,Tabela1[#All],13,0)*E357))))))</f>
        <v/>
      </c>
      <c r="G357" s="16" t="str">
        <f>IF(B357="Compra de estoque",VLOOKUP(C357,Tabela1[#All],4,0)*E357,"")</f>
        <v/>
      </c>
      <c r="H357" s="16"/>
    </row>
    <row r="358" spans="1:8" x14ac:dyDescent="0.25">
      <c r="A358" s="14" t="str">
        <f t="shared" ca="1" si="5"/>
        <v/>
      </c>
      <c r="D358" s="15" t="str">
        <f>IF(C358="","",VLOOKUP(C358,Tabela1[#All],2,0))</f>
        <v/>
      </c>
      <c r="F358" s="16" t="str" cm="1">
        <f t="array" ref="F358">IF(B358="","",(IF(B358="Compra de estoque","",(_xlfn.IFS(AND(B358="Venda de produtos",H358="Sul/Sudeste"),(VLOOKUP(C358,Tabela1[#All],9,0)*E358),AND(B358="Venda de produtos",H358="Nordeste"),(VLOOKUP(C358,Tabela1[#All],11,0)*E358),AND("Venda de produtos",H358="Norte/Centro-Oeste"),(VLOOKUP(C358,Tabela1[#All],13,0)*E358))))))</f>
        <v/>
      </c>
      <c r="G358" s="16" t="str">
        <f>IF(B358="Compra de estoque",VLOOKUP(C358,Tabela1[#All],4,0)*E358,"")</f>
        <v/>
      </c>
      <c r="H358" s="16"/>
    </row>
    <row r="359" spans="1:8" x14ac:dyDescent="0.25">
      <c r="A359" s="14" t="str">
        <f t="shared" ca="1" si="5"/>
        <v/>
      </c>
      <c r="D359" s="15" t="str">
        <f>IF(C359="","",VLOOKUP(C359,Tabela1[#All],2,0))</f>
        <v/>
      </c>
      <c r="F359" s="16" t="str" cm="1">
        <f t="array" ref="F359">IF(B359="","",(IF(B359="Compra de estoque","",(_xlfn.IFS(AND(B359="Venda de produtos",H359="Sul/Sudeste"),(VLOOKUP(C359,Tabela1[#All],9,0)*E359),AND(B359="Venda de produtos",H359="Nordeste"),(VLOOKUP(C359,Tabela1[#All],11,0)*E359),AND("Venda de produtos",H359="Norte/Centro-Oeste"),(VLOOKUP(C359,Tabela1[#All],13,0)*E359))))))</f>
        <v/>
      </c>
      <c r="G359" s="16" t="str">
        <f>IF(B359="Compra de estoque",VLOOKUP(C359,Tabela1[#All],4,0)*E359,"")</f>
        <v/>
      </c>
      <c r="H359" s="16"/>
    </row>
    <row r="360" spans="1:8" x14ac:dyDescent="0.25">
      <c r="A360" s="14" t="str">
        <f t="shared" ca="1" si="5"/>
        <v/>
      </c>
      <c r="D360" s="15" t="str">
        <f>IF(C360="","",VLOOKUP(C360,Tabela1[#All],2,0))</f>
        <v/>
      </c>
      <c r="F360" s="16" t="str" cm="1">
        <f t="array" ref="F360">IF(B360="","",(IF(B360="Compra de estoque","",(_xlfn.IFS(AND(B360="Venda de produtos",H360="Sul/Sudeste"),(VLOOKUP(C360,Tabela1[#All],9,0)*E360),AND(B360="Venda de produtos",H360="Nordeste"),(VLOOKUP(C360,Tabela1[#All],11,0)*E360),AND("Venda de produtos",H360="Norte/Centro-Oeste"),(VLOOKUP(C360,Tabela1[#All],13,0)*E360))))))</f>
        <v/>
      </c>
      <c r="G360" s="16" t="str">
        <f>IF(B360="Compra de estoque",VLOOKUP(C360,Tabela1[#All],4,0)*E360,"")</f>
        <v/>
      </c>
      <c r="H360" s="16"/>
    </row>
    <row r="361" spans="1:8" x14ac:dyDescent="0.25">
      <c r="A361" s="14" t="str">
        <f t="shared" ca="1" si="5"/>
        <v/>
      </c>
      <c r="D361" s="15" t="str">
        <f>IF(C361="","",VLOOKUP(C361,Tabela1[#All],2,0))</f>
        <v/>
      </c>
      <c r="F361" s="16" t="str" cm="1">
        <f t="array" ref="F361">IF(B361="","",(IF(B361="Compra de estoque","",(_xlfn.IFS(AND(B361="Venda de produtos",H361="Sul/Sudeste"),(VLOOKUP(C361,Tabela1[#All],9,0)*E361),AND(B361="Venda de produtos",H361="Nordeste"),(VLOOKUP(C361,Tabela1[#All],11,0)*E361),AND("Venda de produtos",H361="Norte/Centro-Oeste"),(VLOOKUP(C361,Tabela1[#All],13,0)*E361))))))</f>
        <v/>
      </c>
      <c r="G361" s="16" t="str">
        <f>IF(B361="Compra de estoque",VLOOKUP(C361,Tabela1[#All],4,0)*E361,"")</f>
        <v/>
      </c>
      <c r="H361" s="16"/>
    </row>
    <row r="362" spans="1:8" x14ac:dyDescent="0.25">
      <c r="A362" s="14" t="str">
        <f t="shared" ca="1" si="5"/>
        <v/>
      </c>
      <c r="D362" s="15" t="str">
        <f>IF(C362="","",VLOOKUP(C362,Tabela1[#All],2,0))</f>
        <v/>
      </c>
      <c r="F362" s="16" t="str" cm="1">
        <f t="array" ref="F362">IF(B362="","",(IF(B362="Compra de estoque","",(_xlfn.IFS(AND(B362="Venda de produtos",H362="Sul/Sudeste"),(VLOOKUP(C362,Tabela1[#All],9,0)*E362),AND(B362="Venda de produtos",H362="Nordeste"),(VLOOKUP(C362,Tabela1[#All],11,0)*E362),AND("Venda de produtos",H362="Norte/Centro-Oeste"),(VLOOKUP(C362,Tabela1[#All],13,0)*E362))))))</f>
        <v/>
      </c>
      <c r="G362" s="16" t="str">
        <f>IF(B362="Compra de estoque",VLOOKUP(C362,Tabela1[#All],4,0)*E362,"")</f>
        <v/>
      </c>
      <c r="H362" s="16"/>
    </row>
    <row r="363" spans="1:8" x14ac:dyDescent="0.25">
      <c r="A363" s="14" t="str">
        <f t="shared" ca="1" si="5"/>
        <v/>
      </c>
      <c r="D363" s="15" t="str">
        <f>IF(C363="","",VLOOKUP(C363,Tabela1[#All],2,0))</f>
        <v/>
      </c>
      <c r="F363" s="16" t="str" cm="1">
        <f t="array" ref="F363">IF(B363="","",(IF(B363="Compra de estoque","",(_xlfn.IFS(AND(B363="Venda de produtos",H363="Sul/Sudeste"),(VLOOKUP(C363,Tabela1[#All],9,0)*E363),AND(B363="Venda de produtos",H363="Nordeste"),(VLOOKUP(C363,Tabela1[#All],11,0)*E363),AND("Venda de produtos",H363="Norte/Centro-Oeste"),(VLOOKUP(C363,Tabela1[#All],13,0)*E363))))))</f>
        <v/>
      </c>
      <c r="G363" s="16" t="str">
        <f>IF(B363="Compra de estoque",VLOOKUP(C363,Tabela1[#All],4,0)*E363,"")</f>
        <v/>
      </c>
      <c r="H363" s="16"/>
    </row>
    <row r="364" spans="1:8" x14ac:dyDescent="0.25">
      <c r="A364" s="14" t="str">
        <f t="shared" ca="1" si="5"/>
        <v/>
      </c>
      <c r="D364" s="15" t="str">
        <f>IF(C364="","",VLOOKUP(C364,Tabela1[#All],2,0))</f>
        <v/>
      </c>
      <c r="F364" s="16" t="str" cm="1">
        <f t="array" ref="F364">IF(B364="","",(IF(B364="Compra de estoque","",(_xlfn.IFS(AND(B364="Venda de produtos",H364="Sul/Sudeste"),(VLOOKUP(C364,Tabela1[#All],9,0)*E364),AND(B364="Venda de produtos",H364="Nordeste"),(VLOOKUP(C364,Tabela1[#All],11,0)*E364),AND("Venda de produtos",H364="Norte/Centro-Oeste"),(VLOOKUP(C364,Tabela1[#All],13,0)*E364))))))</f>
        <v/>
      </c>
      <c r="G364" s="16" t="str">
        <f>IF(B364="Compra de estoque",VLOOKUP(C364,Tabela1[#All],4,0)*E364,"")</f>
        <v/>
      </c>
      <c r="H364" s="16"/>
    </row>
    <row r="365" spans="1:8" x14ac:dyDescent="0.25">
      <c r="A365" s="14" t="str">
        <f t="shared" ca="1" si="5"/>
        <v/>
      </c>
      <c r="D365" s="15" t="str">
        <f>IF(C365="","",VLOOKUP(C365,Tabela1[#All],2,0))</f>
        <v/>
      </c>
      <c r="F365" s="16" t="str" cm="1">
        <f t="array" ref="F365">IF(B365="","",(IF(B365="Compra de estoque","",(_xlfn.IFS(AND(B365="Venda de produtos",H365="Sul/Sudeste"),(VLOOKUP(C365,Tabela1[#All],9,0)*E365),AND(B365="Venda de produtos",H365="Nordeste"),(VLOOKUP(C365,Tabela1[#All],11,0)*E365),AND("Venda de produtos",H365="Norte/Centro-Oeste"),(VLOOKUP(C365,Tabela1[#All],13,0)*E365))))))</f>
        <v/>
      </c>
      <c r="G365" s="16" t="str">
        <f>IF(B365="Compra de estoque",VLOOKUP(C365,Tabela1[#All],4,0)*E365,"")</f>
        <v/>
      </c>
      <c r="H365" s="16"/>
    </row>
    <row r="366" spans="1:8" x14ac:dyDescent="0.25">
      <c r="A366" s="14" t="str">
        <f t="shared" ca="1" si="5"/>
        <v/>
      </c>
      <c r="D366" s="15" t="str">
        <f>IF(C366="","",VLOOKUP(C366,Tabela1[#All],2,0))</f>
        <v/>
      </c>
      <c r="F366" s="16" t="str" cm="1">
        <f t="array" ref="F366">IF(B366="","",(IF(B366="Compra de estoque","",(_xlfn.IFS(AND(B366="Venda de produtos",H366="Sul/Sudeste"),(VLOOKUP(C366,Tabela1[#All],9,0)*E366),AND(B366="Venda de produtos",H366="Nordeste"),(VLOOKUP(C366,Tabela1[#All],11,0)*E366),AND("Venda de produtos",H366="Norte/Centro-Oeste"),(VLOOKUP(C366,Tabela1[#All],13,0)*E366))))))</f>
        <v/>
      </c>
      <c r="G366" s="16" t="str">
        <f>IF(B366="Compra de estoque",VLOOKUP(C366,Tabela1[#All],4,0)*E366,"")</f>
        <v/>
      </c>
      <c r="H366" s="16"/>
    </row>
    <row r="367" spans="1:8" x14ac:dyDescent="0.25">
      <c r="A367" s="14" t="str">
        <f t="shared" ca="1" si="5"/>
        <v/>
      </c>
      <c r="D367" s="15" t="str">
        <f>IF(C367="","",VLOOKUP(C367,Tabela1[#All],2,0))</f>
        <v/>
      </c>
      <c r="F367" s="16" t="str" cm="1">
        <f t="array" ref="F367">IF(B367="","",(IF(B367="Compra de estoque","",(_xlfn.IFS(AND(B367="Venda de produtos",H367="Sul/Sudeste"),(VLOOKUP(C367,Tabela1[#All],9,0)*E367),AND(B367="Venda de produtos",H367="Nordeste"),(VLOOKUP(C367,Tabela1[#All],11,0)*E367),AND("Venda de produtos",H367="Norte/Centro-Oeste"),(VLOOKUP(C367,Tabela1[#All],13,0)*E367))))))</f>
        <v/>
      </c>
      <c r="G367" s="16" t="str">
        <f>IF(B367="Compra de estoque",VLOOKUP(C367,Tabela1[#All],4,0)*E367,"")</f>
        <v/>
      </c>
      <c r="H367" s="16"/>
    </row>
    <row r="368" spans="1:8" x14ac:dyDescent="0.25">
      <c r="A368" s="14" t="str">
        <f t="shared" ca="1" si="5"/>
        <v/>
      </c>
      <c r="D368" s="15" t="str">
        <f>IF(C368="","",VLOOKUP(C368,Tabela1[#All],2,0))</f>
        <v/>
      </c>
      <c r="F368" s="16" t="str" cm="1">
        <f t="array" ref="F368">IF(B368="","",(IF(B368="Compra de estoque","",(_xlfn.IFS(AND(B368="Venda de produtos",H368="Sul/Sudeste"),(VLOOKUP(C368,Tabela1[#All],9,0)*E368),AND(B368="Venda de produtos",H368="Nordeste"),(VLOOKUP(C368,Tabela1[#All],11,0)*E368),AND("Venda de produtos",H368="Norte/Centro-Oeste"),(VLOOKUP(C368,Tabela1[#All],13,0)*E368))))))</f>
        <v/>
      </c>
      <c r="G368" s="16" t="str">
        <f>IF(B368="Compra de estoque",VLOOKUP(C368,Tabela1[#All],4,0)*E368,"")</f>
        <v/>
      </c>
      <c r="H368" s="16"/>
    </row>
    <row r="369" spans="1:8" x14ac:dyDescent="0.25">
      <c r="A369" s="14" t="str">
        <f t="shared" ca="1" si="5"/>
        <v/>
      </c>
      <c r="D369" s="15" t="str">
        <f>IF(C369="","",VLOOKUP(C369,Tabela1[#All],2,0))</f>
        <v/>
      </c>
      <c r="F369" s="16" t="str" cm="1">
        <f t="array" ref="F369">IF(B369="","",(IF(B369="Compra de estoque","",(_xlfn.IFS(AND(B369="Venda de produtos",H369="Sul/Sudeste"),(VLOOKUP(C369,Tabela1[#All],9,0)*E369),AND(B369="Venda de produtos",H369="Nordeste"),(VLOOKUP(C369,Tabela1[#All],11,0)*E369),AND("Venda de produtos",H369="Norte/Centro-Oeste"),(VLOOKUP(C369,Tabela1[#All],13,0)*E369))))))</f>
        <v/>
      </c>
      <c r="G369" s="16" t="str">
        <f>IF(B369="Compra de estoque",VLOOKUP(C369,Tabela1[#All],4,0)*E369,"")</f>
        <v/>
      </c>
      <c r="H369" s="16"/>
    </row>
    <row r="370" spans="1:8" x14ac:dyDescent="0.25">
      <c r="A370" s="14" t="str">
        <f t="shared" ca="1" si="5"/>
        <v/>
      </c>
      <c r="D370" s="15" t="str">
        <f>IF(C370="","",VLOOKUP(C370,Tabela1[#All],2,0))</f>
        <v/>
      </c>
      <c r="F370" s="16" t="str" cm="1">
        <f t="array" ref="F370">IF(B370="","",(IF(B370="Compra de estoque","",(_xlfn.IFS(AND(B370="Venda de produtos",H370="Sul/Sudeste"),(VLOOKUP(C370,Tabela1[#All],9,0)*E370),AND(B370="Venda de produtos",H370="Nordeste"),(VLOOKUP(C370,Tabela1[#All],11,0)*E370),AND("Venda de produtos",H370="Norte/Centro-Oeste"),(VLOOKUP(C370,Tabela1[#All],13,0)*E370))))))</f>
        <v/>
      </c>
      <c r="G370" s="16" t="str">
        <f>IF(B370="Compra de estoque",VLOOKUP(C370,Tabela1[#All],4,0)*E370,"")</f>
        <v/>
      </c>
      <c r="H370" s="16"/>
    </row>
    <row r="371" spans="1:8" x14ac:dyDescent="0.25">
      <c r="A371" s="14" t="str">
        <f t="shared" ca="1" si="5"/>
        <v/>
      </c>
      <c r="D371" s="15" t="str">
        <f>IF(C371="","",VLOOKUP(C371,Tabela1[#All],2,0))</f>
        <v/>
      </c>
      <c r="F371" s="16" t="str" cm="1">
        <f t="array" ref="F371">IF(B371="","",(IF(B371="Compra de estoque","",(_xlfn.IFS(AND(B371="Venda de produtos",H371="Sul/Sudeste"),(VLOOKUP(C371,Tabela1[#All],9,0)*E371),AND(B371="Venda de produtos",H371="Nordeste"),(VLOOKUP(C371,Tabela1[#All],11,0)*E371),AND("Venda de produtos",H371="Norte/Centro-Oeste"),(VLOOKUP(C371,Tabela1[#All],13,0)*E371))))))</f>
        <v/>
      </c>
      <c r="G371" s="16" t="str">
        <f>IF(B371="Compra de estoque",VLOOKUP(C371,Tabela1[#All],4,0)*E371,"")</f>
        <v/>
      </c>
      <c r="H371" s="16"/>
    </row>
    <row r="372" spans="1:8" x14ac:dyDescent="0.25">
      <c r="A372" s="14" t="str">
        <f t="shared" ca="1" si="5"/>
        <v/>
      </c>
      <c r="D372" s="15" t="str">
        <f>IF(C372="","",VLOOKUP(C372,Tabela1[#All],2,0))</f>
        <v/>
      </c>
      <c r="F372" s="16" t="str" cm="1">
        <f t="array" ref="F372">IF(B372="","",(IF(B372="Compra de estoque","",(_xlfn.IFS(AND(B372="Venda de produtos",H372="Sul/Sudeste"),(VLOOKUP(C372,Tabela1[#All],9,0)*E372),AND(B372="Venda de produtos",H372="Nordeste"),(VLOOKUP(C372,Tabela1[#All],11,0)*E372),AND("Venda de produtos",H372="Norte/Centro-Oeste"),(VLOOKUP(C372,Tabela1[#All],13,0)*E372))))))</f>
        <v/>
      </c>
      <c r="G372" s="16" t="str">
        <f>IF(B372="Compra de estoque",VLOOKUP(C372,Tabela1[#All],4,0)*E372,"")</f>
        <v/>
      </c>
      <c r="H372" s="16"/>
    </row>
    <row r="373" spans="1:8" x14ac:dyDescent="0.25">
      <c r="A373" s="14" t="str">
        <f t="shared" ca="1" si="5"/>
        <v/>
      </c>
      <c r="D373" s="15" t="str">
        <f>IF(C373="","",VLOOKUP(C373,Tabela1[#All],2,0))</f>
        <v/>
      </c>
      <c r="F373" s="16" t="str" cm="1">
        <f t="array" ref="F373">IF(B373="","",(IF(B373="Compra de estoque","",(_xlfn.IFS(AND(B373="Venda de produtos",H373="Sul/Sudeste"),(VLOOKUP(C373,Tabela1[#All],9,0)*E373),AND(B373="Venda de produtos",H373="Nordeste"),(VLOOKUP(C373,Tabela1[#All],11,0)*E373),AND("Venda de produtos",H373="Norte/Centro-Oeste"),(VLOOKUP(C373,Tabela1[#All],13,0)*E373))))))</f>
        <v/>
      </c>
      <c r="G373" s="16" t="str">
        <f>IF(B373="Compra de estoque",VLOOKUP(C373,Tabela1[#All],4,0)*E373,"")</f>
        <v/>
      </c>
      <c r="H373" s="16"/>
    </row>
    <row r="374" spans="1:8" x14ac:dyDescent="0.25">
      <c r="A374" s="14" t="str">
        <f t="shared" ca="1" si="5"/>
        <v/>
      </c>
      <c r="D374" s="15" t="str">
        <f>IF(C374="","",VLOOKUP(C374,Tabela1[#All],2,0))</f>
        <v/>
      </c>
      <c r="F374" s="16" t="str" cm="1">
        <f t="array" ref="F374">IF(B374="","",(IF(B374="Compra de estoque","",(_xlfn.IFS(AND(B374="Venda de produtos",H374="Sul/Sudeste"),(VLOOKUP(C374,Tabela1[#All],9,0)*E374),AND(B374="Venda de produtos",H374="Nordeste"),(VLOOKUP(C374,Tabela1[#All],11,0)*E374),AND("Venda de produtos",H374="Norte/Centro-Oeste"),(VLOOKUP(C374,Tabela1[#All],13,0)*E374))))))</f>
        <v/>
      </c>
      <c r="G374" s="16" t="str">
        <f>IF(B374="Compra de estoque",VLOOKUP(C374,Tabela1[#All],4,0)*E374,"")</f>
        <v/>
      </c>
      <c r="H374" s="16"/>
    </row>
    <row r="375" spans="1:8" x14ac:dyDescent="0.25">
      <c r="A375" s="14" t="str">
        <f t="shared" ca="1" si="5"/>
        <v/>
      </c>
      <c r="D375" s="15" t="str">
        <f>IF(C375="","",VLOOKUP(C375,Tabela1[#All],2,0))</f>
        <v/>
      </c>
      <c r="F375" s="16" t="str" cm="1">
        <f t="array" ref="F375">IF(B375="","",(IF(B375="Compra de estoque","",(_xlfn.IFS(AND(B375="Venda de produtos",H375="Sul/Sudeste"),(VLOOKUP(C375,Tabela1[#All],9,0)*E375),AND(B375="Venda de produtos",H375="Nordeste"),(VLOOKUP(C375,Tabela1[#All],11,0)*E375),AND("Venda de produtos",H375="Norte/Centro-Oeste"),(VLOOKUP(C375,Tabela1[#All],13,0)*E375))))))</f>
        <v/>
      </c>
      <c r="G375" s="16" t="str">
        <f>IF(B375="Compra de estoque",VLOOKUP(C375,Tabela1[#All],4,0)*E375,"")</f>
        <v/>
      </c>
      <c r="H375" s="16"/>
    </row>
    <row r="376" spans="1:8" x14ac:dyDescent="0.25">
      <c r="A376" s="14" t="str">
        <f t="shared" ca="1" si="5"/>
        <v/>
      </c>
      <c r="D376" s="15" t="str">
        <f>IF(C376="","",VLOOKUP(C376,Tabela1[#All],2,0))</f>
        <v/>
      </c>
      <c r="F376" s="16" t="str" cm="1">
        <f t="array" ref="F376">IF(B376="","",(IF(B376="Compra de estoque","",(_xlfn.IFS(AND(B376="Venda de produtos",H376="Sul/Sudeste"),(VLOOKUP(C376,Tabela1[#All],9,0)*E376),AND(B376="Venda de produtos",H376="Nordeste"),(VLOOKUP(C376,Tabela1[#All],11,0)*E376),AND("Venda de produtos",H376="Norte/Centro-Oeste"),(VLOOKUP(C376,Tabela1[#All],13,0)*E376))))))</f>
        <v/>
      </c>
      <c r="G376" s="16" t="str">
        <f>IF(B376="Compra de estoque",VLOOKUP(C376,Tabela1[#All],4,0)*E376,"")</f>
        <v/>
      </c>
      <c r="H376" s="16"/>
    </row>
    <row r="377" spans="1:8" x14ac:dyDescent="0.25">
      <c r="A377" s="14" t="str">
        <f t="shared" ca="1" si="5"/>
        <v/>
      </c>
      <c r="D377" s="15" t="str">
        <f>IF(C377="","",VLOOKUP(C377,Tabela1[#All],2,0))</f>
        <v/>
      </c>
      <c r="F377" s="16" t="str" cm="1">
        <f t="array" ref="F377">IF(B377="","",(IF(B377="Compra de estoque","",(_xlfn.IFS(AND(B377="Venda de produtos",H377="Sul/Sudeste"),(VLOOKUP(C377,Tabela1[#All],9,0)*E377),AND(B377="Venda de produtos",H377="Nordeste"),(VLOOKUP(C377,Tabela1[#All],11,0)*E377),AND("Venda de produtos",H377="Norte/Centro-Oeste"),(VLOOKUP(C377,Tabela1[#All],13,0)*E377))))))</f>
        <v/>
      </c>
      <c r="G377" s="16" t="str">
        <f>IF(B377="Compra de estoque",VLOOKUP(C377,Tabela1[#All],4,0)*E377,"")</f>
        <v/>
      </c>
      <c r="H377" s="16"/>
    </row>
    <row r="378" spans="1:8" x14ac:dyDescent="0.25">
      <c r="A378" s="14" t="str">
        <f t="shared" ca="1" si="5"/>
        <v/>
      </c>
      <c r="D378" s="15" t="str">
        <f>IF(C378="","",VLOOKUP(C378,Tabela1[#All],2,0))</f>
        <v/>
      </c>
      <c r="F378" s="16" t="str" cm="1">
        <f t="array" ref="F378">IF(B378="","",(IF(B378="Compra de estoque","",(_xlfn.IFS(AND(B378="Venda de produtos",H378="Sul/Sudeste"),(VLOOKUP(C378,Tabela1[#All],9,0)*E378),AND(B378="Venda de produtos",H378="Nordeste"),(VLOOKUP(C378,Tabela1[#All],11,0)*E378),AND("Venda de produtos",H378="Norte/Centro-Oeste"),(VLOOKUP(C378,Tabela1[#All],13,0)*E378))))))</f>
        <v/>
      </c>
      <c r="G378" s="16" t="str">
        <f>IF(B378="Compra de estoque",VLOOKUP(C378,Tabela1[#All],4,0)*E378,"")</f>
        <v/>
      </c>
      <c r="H378" s="16"/>
    </row>
    <row r="379" spans="1:8" x14ac:dyDescent="0.25">
      <c r="A379" s="14" t="str">
        <f t="shared" ca="1" si="5"/>
        <v/>
      </c>
      <c r="D379" s="15" t="str">
        <f>IF(C379="","",VLOOKUP(C379,Tabela1[#All],2,0))</f>
        <v/>
      </c>
      <c r="F379" s="16" t="str" cm="1">
        <f t="array" ref="F379">IF(B379="","",(IF(B379="Compra de estoque","",(_xlfn.IFS(AND(B379="Venda de produtos",H379="Sul/Sudeste"),(VLOOKUP(C379,Tabela1[#All],9,0)*E379),AND(B379="Venda de produtos",H379="Nordeste"),(VLOOKUP(C379,Tabela1[#All],11,0)*E379),AND("Venda de produtos",H379="Norte/Centro-Oeste"),(VLOOKUP(C379,Tabela1[#All],13,0)*E379))))))</f>
        <v/>
      </c>
      <c r="G379" s="16" t="str">
        <f>IF(B379="Compra de estoque",VLOOKUP(C379,Tabela1[#All],4,0)*E379,"")</f>
        <v/>
      </c>
      <c r="H379" s="16"/>
    </row>
    <row r="380" spans="1:8" x14ac:dyDescent="0.25">
      <c r="A380" s="14" t="str">
        <f t="shared" ca="1" si="5"/>
        <v/>
      </c>
      <c r="D380" s="15" t="str">
        <f>IF(C380="","",VLOOKUP(C380,Tabela1[#All],2,0))</f>
        <v/>
      </c>
      <c r="F380" s="16" t="str" cm="1">
        <f t="array" ref="F380">IF(B380="","",(IF(B380="Compra de estoque","",(_xlfn.IFS(AND(B380="Venda de produtos",H380="Sul/Sudeste"),(VLOOKUP(C380,Tabela1[#All],9,0)*E380),AND(B380="Venda de produtos",H380="Nordeste"),(VLOOKUP(C380,Tabela1[#All],11,0)*E380),AND("Venda de produtos",H380="Norte/Centro-Oeste"),(VLOOKUP(C380,Tabela1[#All],13,0)*E380))))))</f>
        <v/>
      </c>
      <c r="G380" s="16" t="str">
        <f>IF(B380="Compra de estoque",VLOOKUP(C380,Tabela1[#All],4,0)*E380,"")</f>
        <v/>
      </c>
      <c r="H380" s="16"/>
    </row>
    <row r="381" spans="1:8" x14ac:dyDescent="0.25">
      <c r="A381" s="14" t="str">
        <f t="shared" ca="1" si="5"/>
        <v/>
      </c>
      <c r="D381" s="15" t="str">
        <f>IF(C381="","",VLOOKUP(C381,Tabela1[#All],2,0))</f>
        <v/>
      </c>
      <c r="F381" s="16" t="str" cm="1">
        <f t="array" ref="F381">IF(B381="","",(IF(B381="Compra de estoque","",(_xlfn.IFS(AND(B381="Venda de produtos",H381="Sul/Sudeste"),(VLOOKUP(C381,Tabela1[#All],9,0)*E381),AND(B381="Venda de produtos",H381="Nordeste"),(VLOOKUP(C381,Tabela1[#All],11,0)*E381),AND("Venda de produtos",H381="Norte/Centro-Oeste"),(VLOOKUP(C381,Tabela1[#All],13,0)*E381))))))</f>
        <v/>
      </c>
      <c r="G381" s="16" t="str">
        <f>IF(B381="Compra de estoque",VLOOKUP(C381,Tabela1[#All],4,0)*E381,"")</f>
        <v/>
      </c>
      <c r="H381" s="16"/>
    </row>
    <row r="382" spans="1:8" x14ac:dyDescent="0.25">
      <c r="A382" s="14" t="str">
        <f t="shared" ca="1" si="5"/>
        <v/>
      </c>
      <c r="D382" s="15" t="str">
        <f>IF(C382="","",VLOOKUP(C382,Tabela1[#All],2,0))</f>
        <v/>
      </c>
      <c r="F382" s="16" t="str" cm="1">
        <f t="array" ref="F382">IF(B382="","",(IF(B382="Compra de estoque","",(_xlfn.IFS(AND(B382="Venda de produtos",H382="Sul/Sudeste"),(VLOOKUP(C382,Tabela1[#All],9,0)*E382),AND(B382="Venda de produtos",H382="Nordeste"),(VLOOKUP(C382,Tabela1[#All],11,0)*E382),AND("Venda de produtos",H382="Norte/Centro-Oeste"),(VLOOKUP(C382,Tabela1[#All],13,0)*E382))))))</f>
        <v/>
      </c>
      <c r="G382" s="16" t="str">
        <f>IF(B382="Compra de estoque",VLOOKUP(C382,Tabela1[#All],4,0)*E382,"")</f>
        <v/>
      </c>
      <c r="H382" s="16"/>
    </row>
    <row r="383" spans="1:8" x14ac:dyDescent="0.25">
      <c r="A383" s="14" t="str">
        <f t="shared" ca="1" si="5"/>
        <v/>
      </c>
      <c r="D383" s="15" t="str">
        <f>IF(C383="","",VLOOKUP(C383,Tabela1[#All],2,0))</f>
        <v/>
      </c>
      <c r="F383" s="16" t="str" cm="1">
        <f t="array" ref="F383">IF(B383="","",(IF(B383="Compra de estoque","",(_xlfn.IFS(AND(B383="Venda de produtos",H383="Sul/Sudeste"),(VLOOKUP(C383,Tabela1[#All],9,0)*E383),AND(B383="Venda de produtos",H383="Nordeste"),(VLOOKUP(C383,Tabela1[#All],11,0)*E383),AND("Venda de produtos",H383="Norte/Centro-Oeste"),(VLOOKUP(C383,Tabela1[#All],13,0)*E383))))))</f>
        <v/>
      </c>
      <c r="G383" s="16" t="str">
        <f>IF(B383="Compra de estoque",VLOOKUP(C383,Tabela1[#All],4,0)*E383,"")</f>
        <v/>
      </c>
      <c r="H383" s="16"/>
    </row>
    <row r="384" spans="1:8" x14ac:dyDescent="0.25">
      <c r="A384" s="14" t="str">
        <f t="shared" ca="1" si="5"/>
        <v/>
      </c>
      <c r="D384" s="15" t="str">
        <f>IF(C384="","",VLOOKUP(C384,Tabela1[#All],2,0))</f>
        <v/>
      </c>
      <c r="F384" s="16" t="str" cm="1">
        <f t="array" ref="F384">IF(B384="","",(IF(B384="Compra de estoque","",(_xlfn.IFS(AND(B384="Venda de produtos",H384="Sul/Sudeste"),(VLOOKUP(C384,Tabela1[#All],9,0)*E384),AND(B384="Venda de produtos",H384="Nordeste"),(VLOOKUP(C384,Tabela1[#All],11,0)*E384),AND("Venda de produtos",H384="Norte/Centro-Oeste"),(VLOOKUP(C384,Tabela1[#All],13,0)*E384))))))</f>
        <v/>
      </c>
      <c r="G384" s="16" t="str">
        <f>IF(B384="Compra de estoque",VLOOKUP(C384,Tabela1[#All],4,0)*E384,"")</f>
        <v/>
      </c>
      <c r="H384" s="16"/>
    </row>
    <row r="385" spans="1:8" x14ac:dyDescent="0.25">
      <c r="A385" s="14" t="str">
        <f t="shared" ca="1" si="5"/>
        <v/>
      </c>
      <c r="D385" s="15" t="str">
        <f>IF(C385="","",VLOOKUP(C385,Tabela1[#All],2,0))</f>
        <v/>
      </c>
      <c r="F385" s="16" t="str" cm="1">
        <f t="array" ref="F385">IF(B385="","",(IF(B385="Compra de estoque","",(_xlfn.IFS(AND(B385="Venda de produtos",H385="Sul/Sudeste"),(VLOOKUP(C385,Tabela1[#All],9,0)*E385),AND(B385="Venda de produtos",H385="Nordeste"),(VLOOKUP(C385,Tabela1[#All],11,0)*E385),AND("Venda de produtos",H385="Norte/Centro-Oeste"),(VLOOKUP(C385,Tabela1[#All],13,0)*E385))))))</f>
        <v/>
      </c>
      <c r="G385" s="16" t="str">
        <f>IF(B385="Compra de estoque",VLOOKUP(C385,Tabela1[#All],4,0)*E385,"")</f>
        <v/>
      </c>
      <c r="H385" s="16"/>
    </row>
    <row r="386" spans="1:8" x14ac:dyDescent="0.25">
      <c r="A386" s="14" t="str">
        <f t="shared" ca="1" si="5"/>
        <v/>
      </c>
      <c r="D386" s="15" t="str">
        <f>IF(C386="","",VLOOKUP(C386,Tabela1[#All],2,0))</f>
        <v/>
      </c>
      <c r="F386" s="16" t="str" cm="1">
        <f t="array" ref="F386">IF(B386="","",(IF(B386="Compra de estoque","",(_xlfn.IFS(AND(B386="Venda de produtos",H386="Sul/Sudeste"),(VLOOKUP(C386,Tabela1[#All],9,0)*E386),AND(B386="Venda de produtos",H386="Nordeste"),(VLOOKUP(C386,Tabela1[#All],11,0)*E386),AND("Venda de produtos",H386="Norte/Centro-Oeste"),(VLOOKUP(C386,Tabela1[#All],13,0)*E386))))))</f>
        <v/>
      </c>
      <c r="G386" s="16" t="str">
        <f>IF(B386="Compra de estoque",VLOOKUP(C386,Tabela1[#All],4,0)*E386,"")</f>
        <v/>
      </c>
      <c r="H386" s="16"/>
    </row>
    <row r="387" spans="1:8" x14ac:dyDescent="0.25">
      <c r="A387" s="14" t="str">
        <f t="shared" ref="A387:A450" ca="1" si="6">IF(C387="","",NOW())</f>
        <v/>
      </c>
      <c r="D387" s="15" t="str">
        <f>IF(C387="","",VLOOKUP(C387,Tabela1[#All],2,0))</f>
        <v/>
      </c>
      <c r="F387" s="16" t="str" cm="1">
        <f t="array" ref="F387">IF(B387="","",(IF(B387="Compra de estoque","",(_xlfn.IFS(AND(B387="Venda de produtos",H387="Sul/Sudeste"),(VLOOKUP(C387,Tabela1[#All],9,0)*E387),AND(B387="Venda de produtos",H387="Nordeste"),(VLOOKUP(C387,Tabela1[#All],11,0)*E387),AND("Venda de produtos",H387="Norte/Centro-Oeste"),(VLOOKUP(C387,Tabela1[#All],13,0)*E387))))))</f>
        <v/>
      </c>
      <c r="G387" s="16" t="str">
        <f>IF(B387="Compra de estoque",VLOOKUP(C387,Tabela1[#All],4,0)*E387,"")</f>
        <v/>
      </c>
      <c r="H387" s="16"/>
    </row>
    <row r="388" spans="1:8" x14ac:dyDescent="0.25">
      <c r="A388" s="14" t="str">
        <f t="shared" ca="1" si="6"/>
        <v/>
      </c>
      <c r="D388" s="15" t="str">
        <f>IF(C388="","",VLOOKUP(C388,Tabela1[#All],2,0))</f>
        <v/>
      </c>
      <c r="F388" s="16" t="str" cm="1">
        <f t="array" ref="F388">IF(B388="","",(IF(B388="Compra de estoque","",(_xlfn.IFS(AND(B388="Venda de produtos",H388="Sul/Sudeste"),(VLOOKUP(C388,Tabela1[#All],9,0)*E388),AND(B388="Venda de produtos",H388="Nordeste"),(VLOOKUP(C388,Tabela1[#All],11,0)*E388),AND("Venda de produtos",H388="Norte/Centro-Oeste"),(VLOOKUP(C388,Tabela1[#All],13,0)*E388))))))</f>
        <v/>
      </c>
      <c r="G388" s="16" t="str">
        <f>IF(B388="Compra de estoque",VLOOKUP(C388,Tabela1[#All],4,0)*E388,"")</f>
        <v/>
      </c>
      <c r="H388" s="16"/>
    </row>
    <row r="389" spans="1:8" x14ac:dyDescent="0.25">
      <c r="A389" s="14" t="str">
        <f t="shared" ca="1" si="6"/>
        <v/>
      </c>
      <c r="D389" s="15" t="str">
        <f>IF(C389="","",VLOOKUP(C389,Tabela1[#All],2,0))</f>
        <v/>
      </c>
      <c r="F389" s="16" t="str" cm="1">
        <f t="array" ref="F389">IF(B389="","",(IF(B389="Compra de estoque","",(_xlfn.IFS(AND(B389="Venda de produtos",H389="Sul/Sudeste"),(VLOOKUP(C389,Tabela1[#All],9,0)*E389),AND(B389="Venda de produtos",H389="Nordeste"),(VLOOKUP(C389,Tabela1[#All],11,0)*E389),AND("Venda de produtos",H389="Norte/Centro-Oeste"),(VLOOKUP(C389,Tabela1[#All],13,0)*E389))))))</f>
        <v/>
      </c>
      <c r="G389" s="16" t="str">
        <f>IF(B389="Compra de estoque",VLOOKUP(C389,Tabela1[#All],4,0)*E389,"")</f>
        <v/>
      </c>
      <c r="H389" s="16"/>
    </row>
    <row r="390" spans="1:8" x14ac:dyDescent="0.25">
      <c r="A390" s="14" t="str">
        <f t="shared" ca="1" si="6"/>
        <v/>
      </c>
      <c r="D390" s="15" t="str">
        <f>IF(C390="","",VLOOKUP(C390,Tabela1[#All],2,0))</f>
        <v/>
      </c>
      <c r="F390" s="16" t="str" cm="1">
        <f t="array" ref="F390">IF(B390="","",(IF(B390="Compra de estoque","",(_xlfn.IFS(AND(B390="Venda de produtos",H390="Sul/Sudeste"),(VLOOKUP(C390,Tabela1[#All],9,0)*E390),AND(B390="Venda de produtos",H390="Nordeste"),(VLOOKUP(C390,Tabela1[#All],11,0)*E390),AND("Venda de produtos",H390="Norte/Centro-Oeste"),(VLOOKUP(C390,Tabela1[#All],13,0)*E390))))))</f>
        <v/>
      </c>
      <c r="G390" s="16" t="str">
        <f>IF(B390="Compra de estoque",VLOOKUP(C390,Tabela1[#All],4,0)*E390,"")</f>
        <v/>
      </c>
      <c r="H390" s="16"/>
    </row>
    <row r="391" spans="1:8" x14ac:dyDescent="0.25">
      <c r="A391" s="14" t="str">
        <f t="shared" ca="1" si="6"/>
        <v/>
      </c>
      <c r="D391" s="15" t="str">
        <f>IF(C391="","",VLOOKUP(C391,Tabela1[#All],2,0))</f>
        <v/>
      </c>
      <c r="F391" s="16" t="str" cm="1">
        <f t="array" ref="F391">IF(B391="","",(IF(B391="Compra de estoque","",(_xlfn.IFS(AND(B391="Venda de produtos",H391="Sul/Sudeste"),(VLOOKUP(C391,Tabela1[#All],9,0)*E391),AND(B391="Venda de produtos",H391="Nordeste"),(VLOOKUP(C391,Tabela1[#All],11,0)*E391),AND("Venda de produtos",H391="Norte/Centro-Oeste"),(VLOOKUP(C391,Tabela1[#All],13,0)*E391))))))</f>
        <v/>
      </c>
      <c r="G391" s="16" t="str">
        <f>IF(B391="Compra de estoque",VLOOKUP(C391,Tabela1[#All],4,0)*E391,"")</f>
        <v/>
      </c>
      <c r="H391" s="16"/>
    </row>
    <row r="392" spans="1:8" x14ac:dyDescent="0.25">
      <c r="A392" s="14" t="str">
        <f t="shared" ca="1" si="6"/>
        <v/>
      </c>
      <c r="D392" s="15" t="str">
        <f>IF(C392="","",VLOOKUP(C392,Tabela1[#All],2,0))</f>
        <v/>
      </c>
      <c r="F392" s="16" t="str" cm="1">
        <f t="array" ref="F392">IF(B392="","",(IF(B392="Compra de estoque","",(_xlfn.IFS(AND(B392="Venda de produtos",H392="Sul/Sudeste"),(VLOOKUP(C392,Tabela1[#All],9,0)*E392),AND(B392="Venda de produtos",H392="Nordeste"),(VLOOKUP(C392,Tabela1[#All],11,0)*E392),AND("Venda de produtos",H392="Norte/Centro-Oeste"),(VLOOKUP(C392,Tabela1[#All],13,0)*E392))))))</f>
        <v/>
      </c>
      <c r="G392" s="16" t="str">
        <f>IF(B392="Compra de estoque",VLOOKUP(C392,Tabela1[#All],4,0)*E392,"")</f>
        <v/>
      </c>
      <c r="H392" s="16"/>
    </row>
    <row r="393" spans="1:8" x14ac:dyDescent="0.25">
      <c r="A393" s="14" t="str">
        <f t="shared" ca="1" si="6"/>
        <v/>
      </c>
      <c r="D393" s="15" t="str">
        <f>IF(C393="","",VLOOKUP(C393,Tabela1[#All],2,0))</f>
        <v/>
      </c>
      <c r="F393" s="16" t="str" cm="1">
        <f t="array" ref="F393">IF(B393="","",(IF(B393="Compra de estoque","",(_xlfn.IFS(AND(B393="Venda de produtos",H393="Sul/Sudeste"),(VLOOKUP(C393,Tabela1[#All],9,0)*E393),AND(B393="Venda de produtos",H393="Nordeste"),(VLOOKUP(C393,Tabela1[#All],11,0)*E393),AND("Venda de produtos",H393="Norte/Centro-Oeste"),(VLOOKUP(C393,Tabela1[#All],13,0)*E393))))))</f>
        <v/>
      </c>
      <c r="G393" s="16" t="str">
        <f>IF(B393="Compra de estoque",VLOOKUP(C393,Tabela1[#All],4,0)*E393,"")</f>
        <v/>
      </c>
      <c r="H393" s="16"/>
    </row>
    <row r="394" spans="1:8" x14ac:dyDescent="0.25">
      <c r="A394" s="14" t="str">
        <f t="shared" ca="1" si="6"/>
        <v/>
      </c>
      <c r="D394" s="15" t="str">
        <f>IF(C394="","",VLOOKUP(C394,Tabela1[#All],2,0))</f>
        <v/>
      </c>
      <c r="F394" s="16" t="str" cm="1">
        <f t="array" ref="F394">IF(B394="","",(IF(B394="Compra de estoque","",(_xlfn.IFS(AND(B394="Venda de produtos",H394="Sul/Sudeste"),(VLOOKUP(C394,Tabela1[#All],9,0)*E394),AND(B394="Venda de produtos",H394="Nordeste"),(VLOOKUP(C394,Tabela1[#All],11,0)*E394),AND("Venda de produtos",H394="Norte/Centro-Oeste"),(VLOOKUP(C394,Tabela1[#All],13,0)*E394))))))</f>
        <v/>
      </c>
      <c r="G394" s="16" t="str">
        <f>IF(B394="Compra de estoque",VLOOKUP(C394,Tabela1[#All],4,0)*E394,"")</f>
        <v/>
      </c>
      <c r="H394" s="16"/>
    </row>
    <row r="395" spans="1:8" x14ac:dyDescent="0.25">
      <c r="A395" s="14" t="str">
        <f t="shared" ca="1" si="6"/>
        <v/>
      </c>
      <c r="D395" s="15" t="str">
        <f>IF(C395="","",VLOOKUP(C395,Tabela1[#All],2,0))</f>
        <v/>
      </c>
      <c r="F395" s="16" t="str" cm="1">
        <f t="array" ref="F395">IF(B395="","",(IF(B395="Compra de estoque","",(_xlfn.IFS(AND(B395="Venda de produtos",H395="Sul/Sudeste"),(VLOOKUP(C395,Tabela1[#All],9,0)*E395),AND(B395="Venda de produtos",H395="Nordeste"),(VLOOKUP(C395,Tabela1[#All],11,0)*E395),AND("Venda de produtos",H395="Norte/Centro-Oeste"),(VLOOKUP(C395,Tabela1[#All],13,0)*E395))))))</f>
        <v/>
      </c>
      <c r="G395" s="16" t="str">
        <f>IF(B395="Compra de estoque",VLOOKUP(C395,Tabela1[#All],4,0)*E395,"")</f>
        <v/>
      </c>
      <c r="H395" s="16"/>
    </row>
    <row r="396" spans="1:8" x14ac:dyDescent="0.25">
      <c r="A396" s="14" t="str">
        <f t="shared" ca="1" si="6"/>
        <v/>
      </c>
      <c r="D396" s="15" t="str">
        <f>IF(C396="","",VLOOKUP(C396,Tabela1[#All],2,0))</f>
        <v/>
      </c>
      <c r="F396" s="16" t="str" cm="1">
        <f t="array" ref="F396">IF(B396="","",(IF(B396="Compra de estoque","",(_xlfn.IFS(AND(B396="Venda de produtos",H396="Sul/Sudeste"),(VLOOKUP(C396,Tabela1[#All],9,0)*E396),AND(B396="Venda de produtos",H396="Nordeste"),(VLOOKUP(C396,Tabela1[#All],11,0)*E396),AND("Venda de produtos",H396="Norte/Centro-Oeste"),(VLOOKUP(C396,Tabela1[#All],13,0)*E396))))))</f>
        <v/>
      </c>
      <c r="G396" s="16" t="str">
        <f>IF(B396="Compra de estoque",VLOOKUP(C396,Tabela1[#All],4,0)*E396,"")</f>
        <v/>
      </c>
      <c r="H396" s="16"/>
    </row>
    <row r="397" spans="1:8" x14ac:dyDescent="0.25">
      <c r="A397" s="14" t="str">
        <f t="shared" ca="1" si="6"/>
        <v/>
      </c>
      <c r="D397" s="15" t="str">
        <f>IF(C397="","",VLOOKUP(C397,Tabela1[#All],2,0))</f>
        <v/>
      </c>
      <c r="F397" s="16" t="str" cm="1">
        <f t="array" ref="F397">IF(B397="","",(IF(B397="Compra de estoque","",(_xlfn.IFS(AND(B397="Venda de produtos",H397="Sul/Sudeste"),(VLOOKUP(C397,Tabela1[#All],9,0)*E397),AND(B397="Venda de produtos",H397="Nordeste"),(VLOOKUP(C397,Tabela1[#All],11,0)*E397),AND("Venda de produtos",H397="Norte/Centro-Oeste"),(VLOOKUP(C397,Tabela1[#All],13,0)*E397))))))</f>
        <v/>
      </c>
      <c r="G397" s="16" t="str">
        <f>IF(B397="Compra de estoque",VLOOKUP(C397,Tabela1[#All],4,0)*E397,"")</f>
        <v/>
      </c>
      <c r="H397" s="16"/>
    </row>
    <row r="398" spans="1:8" x14ac:dyDescent="0.25">
      <c r="A398" s="14" t="str">
        <f t="shared" ca="1" si="6"/>
        <v/>
      </c>
      <c r="D398" s="15" t="str">
        <f>IF(C398="","",VLOOKUP(C398,Tabela1[#All],2,0))</f>
        <v/>
      </c>
      <c r="F398" s="16" t="str" cm="1">
        <f t="array" ref="F398">IF(B398="","",(IF(B398="Compra de estoque","",(_xlfn.IFS(AND(B398="Venda de produtos",H398="Sul/Sudeste"),(VLOOKUP(C398,Tabela1[#All],9,0)*E398),AND(B398="Venda de produtos",H398="Nordeste"),(VLOOKUP(C398,Tabela1[#All],11,0)*E398),AND("Venda de produtos",H398="Norte/Centro-Oeste"),(VLOOKUP(C398,Tabela1[#All],13,0)*E398))))))</f>
        <v/>
      </c>
      <c r="G398" s="16" t="str">
        <f>IF(B398="Compra de estoque",VLOOKUP(C398,Tabela1[#All],4,0)*E398,"")</f>
        <v/>
      </c>
      <c r="H398" s="16"/>
    </row>
    <row r="399" spans="1:8" x14ac:dyDescent="0.25">
      <c r="A399" s="14" t="str">
        <f t="shared" ca="1" si="6"/>
        <v/>
      </c>
      <c r="D399" s="15" t="str">
        <f>IF(C399="","",VLOOKUP(C399,Tabela1[#All],2,0))</f>
        <v/>
      </c>
      <c r="F399" s="16" t="str" cm="1">
        <f t="array" ref="F399">IF(B399="","",(IF(B399="Compra de estoque","",(_xlfn.IFS(AND(B399="Venda de produtos",H399="Sul/Sudeste"),(VLOOKUP(C399,Tabela1[#All],9,0)*E399),AND(B399="Venda de produtos",H399="Nordeste"),(VLOOKUP(C399,Tabela1[#All],11,0)*E399),AND("Venda de produtos",H399="Norte/Centro-Oeste"),(VLOOKUP(C399,Tabela1[#All],13,0)*E399))))))</f>
        <v/>
      </c>
      <c r="G399" s="16" t="str">
        <f>IF(B399="Compra de estoque",VLOOKUP(C399,Tabela1[#All],4,0)*E399,"")</f>
        <v/>
      </c>
      <c r="H399" s="16"/>
    </row>
    <row r="400" spans="1:8" x14ac:dyDescent="0.25">
      <c r="A400" s="14" t="str">
        <f t="shared" ca="1" si="6"/>
        <v/>
      </c>
      <c r="D400" s="15" t="str">
        <f>IF(C400="","",VLOOKUP(C400,Tabela1[#All],2,0))</f>
        <v/>
      </c>
      <c r="F400" s="16" t="str" cm="1">
        <f t="array" ref="F400">IF(B400="","",(IF(B400="Compra de estoque","",(_xlfn.IFS(AND(B400="Venda de produtos",H400="Sul/Sudeste"),(VLOOKUP(C400,Tabela1[#All],9,0)*E400),AND(B400="Venda de produtos",H400="Nordeste"),(VLOOKUP(C400,Tabela1[#All],11,0)*E400),AND("Venda de produtos",H400="Norte/Centro-Oeste"),(VLOOKUP(C400,Tabela1[#All],13,0)*E400))))))</f>
        <v/>
      </c>
      <c r="G400" s="16" t="str">
        <f>IF(B400="Compra de estoque",VLOOKUP(C400,Tabela1[#All],4,0)*E400,"")</f>
        <v/>
      </c>
      <c r="H400" s="16"/>
    </row>
    <row r="401" spans="1:8" x14ac:dyDescent="0.25">
      <c r="A401" s="14" t="str">
        <f t="shared" ca="1" si="6"/>
        <v/>
      </c>
      <c r="D401" s="15" t="str">
        <f>IF(C401="","",VLOOKUP(C401,Tabela1[#All],2,0))</f>
        <v/>
      </c>
      <c r="F401" s="16" t="str" cm="1">
        <f t="array" ref="F401">IF(B401="","",(IF(B401="Compra de estoque","",(_xlfn.IFS(AND(B401="Venda de produtos",H401="Sul/Sudeste"),(VLOOKUP(C401,Tabela1[#All],9,0)*E401),AND(B401="Venda de produtos",H401="Nordeste"),(VLOOKUP(C401,Tabela1[#All],11,0)*E401),AND("Venda de produtos",H401="Norte/Centro-Oeste"),(VLOOKUP(C401,Tabela1[#All],13,0)*E401))))))</f>
        <v/>
      </c>
      <c r="G401" s="16" t="str">
        <f>IF(B401="Compra de estoque",VLOOKUP(C401,Tabela1[#All],4,0)*E401,"")</f>
        <v/>
      </c>
      <c r="H401" s="16"/>
    </row>
    <row r="402" spans="1:8" x14ac:dyDescent="0.25">
      <c r="A402" s="14" t="str">
        <f t="shared" ca="1" si="6"/>
        <v/>
      </c>
      <c r="D402" s="15" t="str">
        <f>IF(C402="","",VLOOKUP(C402,Tabela1[#All],2,0))</f>
        <v/>
      </c>
      <c r="F402" s="16" t="str" cm="1">
        <f t="array" ref="F402">IF(B402="","",(IF(B402="Compra de estoque","",(_xlfn.IFS(AND(B402="Venda de produtos",H402="Sul/Sudeste"),(VLOOKUP(C402,Tabela1[#All],9,0)*E402),AND(B402="Venda de produtos",H402="Nordeste"),(VLOOKUP(C402,Tabela1[#All],11,0)*E402),AND("Venda de produtos",H402="Norte/Centro-Oeste"),(VLOOKUP(C402,Tabela1[#All],13,0)*E402))))))</f>
        <v/>
      </c>
      <c r="G402" s="16" t="str">
        <f>IF(B402="Compra de estoque",VLOOKUP(C402,Tabela1[#All],4,0)*E402,"")</f>
        <v/>
      </c>
      <c r="H402" s="16"/>
    </row>
    <row r="403" spans="1:8" x14ac:dyDescent="0.25">
      <c r="A403" s="14" t="str">
        <f t="shared" ca="1" si="6"/>
        <v/>
      </c>
      <c r="D403" s="15" t="str">
        <f>IF(C403="","",VLOOKUP(C403,Tabela1[#All],2,0))</f>
        <v/>
      </c>
      <c r="F403" s="16" t="str" cm="1">
        <f t="array" ref="F403">IF(B403="","",(IF(B403="Compra de estoque","",(_xlfn.IFS(AND(B403="Venda de produtos",H403="Sul/Sudeste"),(VLOOKUP(C403,Tabela1[#All],9,0)*E403),AND(B403="Venda de produtos",H403="Nordeste"),(VLOOKUP(C403,Tabela1[#All],11,0)*E403),AND("Venda de produtos",H403="Norte/Centro-Oeste"),(VLOOKUP(C403,Tabela1[#All],13,0)*E403))))))</f>
        <v/>
      </c>
      <c r="G403" s="16" t="str">
        <f>IF(B403="Compra de estoque",VLOOKUP(C403,Tabela1[#All],4,0)*E403,"")</f>
        <v/>
      </c>
      <c r="H403" s="16"/>
    </row>
    <row r="404" spans="1:8" x14ac:dyDescent="0.25">
      <c r="A404" s="14" t="str">
        <f t="shared" ca="1" si="6"/>
        <v/>
      </c>
      <c r="D404" s="15" t="str">
        <f>IF(C404="","",VLOOKUP(C404,Tabela1[#All],2,0))</f>
        <v/>
      </c>
      <c r="F404" s="16" t="str" cm="1">
        <f t="array" ref="F404">IF(B404="","",(IF(B404="Compra de estoque","",(_xlfn.IFS(AND(B404="Venda de produtos",H404="Sul/Sudeste"),(VLOOKUP(C404,Tabela1[#All],9,0)*E404),AND(B404="Venda de produtos",H404="Nordeste"),(VLOOKUP(C404,Tabela1[#All],11,0)*E404),AND("Venda de produtos",H404="Norte/Centro-Oeste"),(VLOOKUP(C404,Tabela1[#All],13,0)*E404))))))</f>
        <v/>
      </c>
      <c r="G404" s="16" t="str">
        <f>IF(B404="Compra de estoque",VLOOKUP(C404,Tabela1[#All],4,0)*E404,"")</f>
        <v/>
      </c>
      <c r="H404" s="16"/>
    </row>
    <row r="405" spans="1:8" x14ac:dyDescent="0.25">
      <c r="A405" s="14" t="str">
        <f t="shared" ca="1" si="6"/>
        <v/>
      </c>
      <c r="D405" s="15" t="str">
        <f>IF(C405="","",VLOOKUP(C405,Tabela1[#All],2,0))</f>
        <v/>
      </c>
      <c r="F405" s="16" t="str" cm="1">
        <f t="array" ref="F405">IF(B405="","",(IF(B405="Compra de estoque","",(_xlfn.IFS(AND(B405="Venda de produtos",H405="Sul/Sudeste"),(VLOOKUP(C405,Tabela1[#All],9,0)*E405),AND(B405="Venda de produtos",H405="Nordeste"),(VLOOKUP(C405,Tabela1[#All],11,0)*E405),AND("Venda de produtos",H405="Norte/Centro-Oeste"),(VLOOKUP(C405,Tabela1[#All],13,0)*E405))))))</f>
        <v/>
      </c>
      <c r="G405" s="16" t="str">
        <f>IF(B405="Compra de estoque",VLOOKUP(C405,Tabela1[#All],4,0)*E405,"")</f>
        <v/>
      </c>
      <c r="H405" s="16"/>
    </row>
    <row r="406" spans="1:8" x14ac:dyDescent="0.25">
      <c r="A406" s="14" t="str">
        <f t="shared" ca="1" si="6"/>
        <v/>
      </c>
      <c r="D406" s="15" t="str">
        <f>IF(C406="","",VLOOKUP(C406,Tabela1[#All],2,0))</f>
        <v/>
      </c>
      <c r="F406" s="16" t="str" cm="1">
        <f t="array" ref="F406">IF(B406="","",(IF(B406="Compra de estoque","",(_xlfn.IFS(AND(B406="Venda de produtos",H406="Sul/Sudeste"),(VLOOKUP(C406,Tabela1[#All],9,0)*E406),AND(B406="Venda de produtos",H406="Nordeste"),(VLOOKUP(C406,Tabela1[#All],11,0)*E406),AND("Venda de produtos",H406="Norte/Centro-Oeste"),(VLOOKUP(C406,Tabela1[#All],13,0)*E406))))))</f>
        <v/>
      </c>
      <c r="G406" s="16" t="str">
        <f>IF(B406="Compra de estoque",VLOOKUP(C406,Tabela1[#All],4,0)*E406,"")</f>
        <v/>
      </c>
      <c r="H406" s="16"/>
    </row>
    <row r="407" spans="1:8" x14ac:dyDescent="0.25">
      <c r="A407" s="14" t="str">
        <f t="shared" ca="1" si="6"/>
        <v/>
      </c>
      <c r="D407" s="15" t="str">
        <f>IF(C407="","",VLOOKUP(C407,Tabela1[#All],2,0))</f>
        <v/>
      </c>
      <c r="F407" s="16" t="str" cm="1">
        <f t="array" ref="F407">IF(B407="","",(IF(B407="Compra de estoque","",(_xlfn.IFS(AND(B407="Venda de produtos",H407="Sul/Sudeste"),(VLOOKUP(C407,Tabela1[#All],9,0)*E407),AND(B407="Venda de produtos",H407="Nordeste"),(VLOOKUP(C407,Tabela1[#All],11,0)*E407),AND("Venda de produtos",H407="Norte/Centro-Oeste"),(VLOOKUP(C407,Tabela1[#All],13,0)*E407))))))</f>
        <v/>
      </c>
      <c r="G407" s="16" t="str">
        <f>IF(B407="Compra de estoque",VLOOKUP(C407,Tabela1[#All],4,0)*E407,"")</f>
        <v/>
      </c>
      <c r="H407" s="16"/>
    </row>
    <row r="408" spans="1:8" x14ac:dyDescent="0.25">
      <c r="A408" s="14" t="str">
        <f t="shared" ca="1" si="6"/>
        <v/>
      </c>
      <c r="D408" s="15" t="str">
        <f>IF(C408="","",VLOOKUP(C408,Tabela1[#All],2,0))</f>
        <v/>
      </c>
      <c r="F408" s="16" t="str" cm="1">
        <f t="array" ref="F408">IF(B408="","",(IF(B408="Compra de estoque","",(_xlfn.IFS(AND(B408="Venda de produtos",H408="Sul/Sudeste"),(VLOOKUP(C408,Tabela1[#All],9,0)*E408),AND(B408="Venda de produtos",H408="Nordeste"),(VLOOKUP(C408,Tabela1[#All],11,0)*E408),AND("Venda de produtos",H408="Norte/Centro-Oeste"),(VLOOKUP(C408,Tabela1[#All],13,0)*E408))))))</f>
        <v/>
      </c>
      <c r="G408" s="16" t="str">
        <f>IF(B408="Compra de estoque",VLOOKUP(C408,Tabela1[#All],4,0)*E408,"")</f>
        <v/>
      </c>
      <c r="H408" s="16"/>
    </row>
    <row r="409" spans="1:8" x14ac:dyDescent="0.25">
      <c r="A409" s="14" t="str">
        <f t="shared" ca="1" si="6"/>
        <v/>
      </c>
      <c r="D409" s="15" t="str">
        <f>IF(C409="","",VLOOKUP(C409,Tabela1[#All],2,0))</f>
        <v/>
      </c>
      <c r="F409" s="16" t="str" cm="1">
        <f t="array" ref="F409">IF(B409="","",(IF(B409="Compra de estoque","",(_xlfn.IFS(AND(B409="Venda de produtos",H409="Sul/Sudeste"),(VLOOKUP(C409,Tabela1[#All],9,0)*E409),AND(B409="Venda de produtos",H409="Nordeste"),(VLOOKUP(C409,Tabela1[#All],11,0)*E409),AND("Venda de produtos",H409="Norte/Centro-Oeste"),(VLOOKUP(C409,Tabela1[#All],13,0)*E409))))))</f>
        <v/>
      </c>
      <c r="G409" s="16" t="str">
        <f>IF(B409="Compra de estoque",VLOOKUP(C409,Tabela1[#All],4,0)*E409,"")</f>
        <v/>
      </c>
      <c r="H409" s="16"/>
    </row>
    <row r="410" spans="1:8" x14ac:dyDescent="0.25">
      <c r="A410" s="14" t="str">
        <f t="shared" ca="1" si="6"/>
        <v/>
      </c>
      <c r="D410" s="15" t="str">
        <f>IF(C410="","",VLOOKUP(C410,Tabela1[#All],2,0))</f>
        <v/>
      </c>
      <c r="F410" s="16" t="str" cm="1">
        <f t="array" ref="F410">IF(B410="","",(IF(B410="Compra de estoque","",(_xlfn.IFS(AND(B410="Venda de produtos",H410="Sul/Sudeste"),(VLOOKUP(C410,Tabela1[#All],9,0)*E410),AND(B410="Venda de produtos",H410="Nordeste"),(VLOOKUP(C410,Tabela1[#All],11,0)*E410),AND("Venda de produtos",H410="Norte/Centro-Oeste"),(VLOOKUP(C410,Tabela1[#All],13,0)*E410))))))</f>
        <v/>
      </c>
      <c r="G410" s="16" t="str">
        <f>IF(B410="Compra de estoque",VLOOKUP(C410,Tabela1[#All],4,0)*E410,"")</f>
        <v/>
      </c>
      <c r="H410" s="16"/>
    </row>
    <row r="411" spans="1:8" x14ac:dyDescent="0.25">
      <c r="A411" s="14" t="str">
        <f t="shared" ca="1" si="6"/>
        <v/>
      </c>
      <c r="D411" s="15" t="str">
        <f>IF(C411="","",VLOOKUP(C411,Tabela1[#All],2,0))</f>
        <v/>
      </c>
      <c r="F411" s="16" t="str" cm="1">
        <f t="array" ref="F411">IF(B411="","",(IF(B411="Compra de estoque","",(_xlfn.IFS(AND(B411="Venda de produtos",H411="Sul/Sudeste"),(VLOOKUP(C411,Tabela1[#All],9,0)*E411),AND(B411="Venda de produtos",H411="Nordeste"),(VLOOKUP(C411,Tabela1[#All],11,0)*E411),AND("Venda de produtos",H411="Norte/Centro-Oeste"),(VLOOKUP(C411,Tabela1[#All],13,0)*E411))))))</f>
        <v/>
      </c>
      <c r="G411" s="16" t="str">
        <f>IF(B411="Compra de estoque",VLOOKUP(C411,Tabela1[#All],4,0)*E411,"")</f>
        <v/>
      </c>
      <c r="H411" s="16"/>
    </row>
    <row r="412" spans="1:8" x14ac:dyDescent="0.25">
      <c r="A412" s="14" t="str">
        <f t="shared" ca="1" si="6"/>
        <v/>
      </c>
      <c r="D412" s="15" t="str">
        <f>IF(C412="","",VLOOKUP(C412,Tabela1[#All],2,0))</f>
        <v/>
      </c>
      <c r="F412" s="16" t="str" cm="1">
        <f t="array" ref="F412">IF(B412="","",(IF(B412="Compra de estoque","",(_xlfn.IFS(AND(B412="Venda de produtos",H412="Sul/Sudeste"),(VLOOKUP(C412,Tabela1[#All],9,0)*E412),AND(B412="Venda de produtos",H412="Nordeste"),(VLOOKUP(C412,Tabela1[#All],11,0)*E412),AND("Venda de produtos",H412="Norte/Centro-Oeste"),(VLOOKUP(C412,Tabela1[#All],13,0)*E412))))))</f>
        <v/>
      </c>
      <c r="G412" s="16" t="str">
        <f>IF(B412="Compra de estoque",VLOOKUP(C412,Tabela1[#All],4,0)*E412,"")</f>
        <v/>
      </c>
      <c r="H412" s="16"/>
    </row>
    <row r="413" spans="1:8" x14ac:dyDescent="0.25">
      <c r="A413" s="14" t="str">
        <f t="shared" ca="1" si="6"/>
        <v/>
      </c>
      <c r="D413" s="15" t="str">
        <f>IF(C413="","",VLOOKUP(C413,Tabela1[#All],2,0))</f>
        <v/>
      </c>
      <c r="F413" s="16" t="str" cm="1">
        <f t="array" ref="F413">IF(B413="","",(IF(B413="Compra de estoque","",(_xlfn.IFS(AND(B413="Venda de produtos",H413="Sul/Sudeste"),(VLOOKUP(C413,Tabela1[#All],9,0)*E413),AND(B413="Venda de produtos",H413="Nordeste"),(VLOOKUP(C413,Tabela1[#All],11,0)*E413),AND("Venda de produtos",H413="Norte/Centro-Oeste"),(VLOOKUP(C413,Tabela1[#All],13,0)*E413))))))</f>
        <v/>
      </c>
      <c r="G413" s="16" t="str">
        <f>IF(B413="Compra de estoque",VLOOKUP(C413,Tabela1[#All],4,0)*E413,"")</f>
        <v/>
      </c>
      <c r="H413" s="16"/>
    </row>
    <row r="414" spans="1:8" x14ac:dyDescent="0.25">
      <c r="A414" s="14" t="str">
        <f t="shared" ca="1" si="6"/>
        <v/>
      </c>
      <c r="D414" s="15" t="str">
        <f>IF(C414="","",VLOOKUP(C414,Tabela1[#All],2,0))</f>
        <v/>
      </c>
      <c r="F414" s="16" t="str" cm="1">
        <f t="array" ref="F414">IF(B414="","",(IF(B414="Compra de estoque","",(_xlfn.IFS(AND(B414="Venda de produtos",H414="Sul/Sudeste"),(VLOOKUP(C414,Tabela1[#All],9,0)*E414),AND(B414="Venda de produtos",H414="Nordeste"),(VLOOKUP(C414,Tabela1[#All],11,0)*E414),AND("Venda de produtos",H414="Norte/Centro-Oeste"),(VLOOKUP(C414,Tabela1[#All],13,0)*E414))))))</f>
        <v/>
      </c>
      <c r="G414" s="16" t="str">
        <f>IF(B414="Compra de estoque",VLOOKUP(C414,Tabela1[#All],4,0)*E414,"")</f>
        <v/>
      </c>
      <c r="H414" s="16"/>
    </row>
    <row r="415" spans="1:8" x14ac:dyDescent="0.25">
      <c r="A415" s="14" t="str">
        <f t="shared" ca="1" si="6"/>
        <v/>
      </c>
      <c r="D415" s="15" t="str">
        <f>IF(C415="","",VLOOKUP(C415,Tabela1[#All],2,0))</f>
        <v/>
      </c>
      <c r="F415" s="16" t="str" cm="1">
        <f t="array" ref="F415">IF(B415="","",(IF(B415="Compra de estoque","",(_xlfn.IFS(AND(B415="Venda de produtos",H415="Sul/Sudeste"),(VLOOKUP(C415,Tabela1[#All],9,0)*E415),AND(B415="Venda de produtos",H415="Nordeste"),(VLOOKUP(C415,Tabela1[#All],11,0)*E415),AND("Venda de produtos",H415="Norte/Centro-Oeste"),(VLOOKUP(C415,Tabela1[#All],13,0)*E415))))))</f>
        <v/>
      </c>
      <c r="G415" s="16" t="str">
        <f>IF(B415="Compra de estoque",VLOOKUP(C415,Tabela1[#All],4,0)*E415,"")</f>
        <v/>
      </c>
      <c r="H415" s="16"/>
    </row>
    <row r="416" spans="1:8" x14ac:dyDescent="0.25">
      <c r="A416" s="14" t="str">
        <f t="shared" ca="1" si="6"/>
        <v/>
      </c>
      <c r="D416" s="15" t="str">
        <f>IF(C416="","",VLOOKUP(C416,Tabela1[#All],2,0))</f>
        <v/>
      </c>
      <c r="F416" s="16" t="str" cm="1">
        <f t="array" ref="F416">IF(B416="","",(IF(B416="Compra de estoque","",(_xlfn.IFS(AND(B416="Venda de produtos",H416="Sul/Sudeste"),(VLOOKUP(C416,Tabela1[#All],9,0)*E416),AND(B416="Venda de produtos",H416="Nordeste"),(VLOOKUP(C416,Tabela1[#All],11,0)*E416),AND("Venda de produtos",H416="Norte/Centro-Oeste"),(VLOOKUP(C416,Tabela1[#All],13,0)*E416))))))</f>
        <v/>
      </c>
      <c r="G416" s="16" t="str">
        <f>IF(B416="Compra de estoque",VLOOKUP(C416,Tabela1[#All],4,0)*E416,"")</f>
        <v/>
      </c>
      <c r="H416" s="16"/>
    </row>
    <row r="417" spans="1:8" x14ac:dyDescent="0.25">
      <c r="A417" s="14" t="str">
        <f t="shared" ca="1" si="6"/>
        <v/>
      </c>
      <c r="D417" s="15" t="str">
        <f>IF(C417="","",VLOOKUP(C417,Tabela1[#All],2,0))</f>
        <v/>
      </c>
      <c r="F417" s="16" t="str" cm="1">
        <f t="array" ref="F417">IF(B417="","",(IF(B417="Compra de estoque","",(_xlfn.IFS(AND(B417="Venda de produtos",H417="Sul/Sudeste"),(VLOOKUP(C417,Tabela1[#All],9,0)*E417),AND(B417="Venda de produtos",H417="Nordeste"),(VLOOKUP(C417,Tabela1[#All],11,0)*E417),AND("Venda de produtos",H417="Norte/Centro-Oeste"),(VLOOKUP(C417,Tabela1[#All],13,0)*E417))))))</f>
        <v/>
      </c>
      <c r="G417" s="16" t="str">
        <f>IF(B417="Compra de estoque",VLOOKUP(C417,Tabela1[#All],4,0)*E417,"")</f>
        <v/>
      </c>
      <c r="H417" s="16"/>
    </row>
    <row r="418" spans="1:8" x14ac:dyDescent="0.25">
      <c r="A418" s="14" t="str">
        <f t="shared" ca="1" si="6"/>
        <v/>
      </c>
      <c r="D418" s="15" t="str">
        <f>IF(C418="","",VLOOKUP(C418,Tabela1[#All],2,0))</f>
        <v/>
      </c>
      <c r="F418" s="16" t="str" cm="1">
        <f t="array" ref="F418">IF(B418="","",(IF(B418="Compra de estoque","",(_xlfn.IFS(AND(B418="Venda de produtos",H418="Sul/Sudeste"),(VLOOKUP(C418,Tabela1[#All],9,0)*E418),AND(B418="Venda de produtos",H418="Nordeste"),(VLOOKUP(C418,Tabela1[#All],11,0)*E418),AND("Venda de produtos",H418="Norte/Centro-Oeste"),(VLOOKUP(C418,Tabela1[#All],13,0)*E418))))))</f>
        <v/>
      </c>
      <c r="G418" s="16" t="str">
        <f>IF(B418="Compra de estoque",VLOOKUP(C418,Tabela1[#All],4,0)*E418,"")</f>
        <v/>
      </c>
      <c r="H418" s="16"/>
    </row>
    <row r="419" spans="1:8" x14ac:dyDescent="0.25">
      <c r="A419" s="14" t="str">
        <f t="shared" ca="1" si="6"/>
        <v/>
      </c>
      <c r="D419" s="15" t="str">
        <f>IF(C419="","",VLOOKUP(C419,Tabela1[#All],2,0))</f>
        <v/>
      </c>
      <c r="F419" s="16" t="str" cm="1">
        <f t="array" ref="F419">IF(B419="","",(IF(B419="Compra de estoque","",(_xlfn.IFS(AND(B419="Venda de produtos",H419="Sul/Sudeste"),(VLOOKUP(C419,Tabela1[#All],9,0)*E419),AND(B419="Venda de produtos",H419="Nordeste"),(VLOOKUP(C419,Tabela1[#All],11,0)*E419),AND("Venda de produtos",H419="Norte/Centro-Oeste"),(VLOOKUP(C419,Tabela1[#All],13,0)*E419))))))</f>
        <v/>
      </c>
      <c r="G419" s="16" t="str">
        <f>IF(B419="Compra de estoque",VLOOKUP(C419,Tabela1[#All],4,0)*E419,"")</f>
        <v/>
      </c>
      <c r="H419" s="16"/>
    </row>
    <row r="420" spans="1:8" x14ac:dyDescent="0.25">
      <c r="A420" s="14" t="str">
        <f t="shared" ca="1" si="6"/>
        <v/>
      </c>
      <c r="D420" s="15" t="str">
        <f>IF(C420="","",VLOOKUP(C420,Tabela1[#All],2,0))</f>
        <v/>
      </c>
      <c r="F420" s="16" t="str" cm="1">
        <f t="array" ref="F420">IF(B420="","",(IF(B420="Compra de estoque","",(_xlfn.IFS(AND(B420="Venda de produtos",H420="Sul/Sudeste"),(VLOOKUP(C420,Tabela1[#All],9,0)*E420),AND(B420="Venda de produtos",H420="Nordeste"),(VLOOKUP(C420,Tabela1[#All],11,0)*E420),AND("Venda de produtos",H420="Norte/Centro-Oeste"),(VLOOKUP(C420,Tabela1[#All],13,0)*E420))))))</f>
        <v/>
      </c>
      <c r="G420" s="16" t="str">
        <f>IF(B420="Compra de estoque",VLOOKUP(C420,Tabela1[#All],4,0)*E420,"")</f>
        <v/>
      </c>
      <c r="H420" s="16"/>
    </row>
    <row r="421" spans="1:8" x14ac:dyDescent="0.25">
      <c r="A421" s="14" t="str">
        <f t="shared" ca="1" si="6"/>
        <v/>
      </c>
      <c r="D421" s="15" t="str">
        <f>IF(C421="","",VLOOKUP(C421,Tabela1[#All],2,0))</f>
        <v/>
      </c>
      <c r="F421" s="16" t="str" cm="1">
        <f t="array" ref="F421">IF(B421="","",(IF(B421="Compra de estoque","",(_xlfn.IFS(AND(B421="Venda de produtos",H421="Sul/Sudeste"),(VLOOKUP(C421,Tabela1[#All],9,0)*E421),AND(B421="Venda de produtos",H421="Nordeste"),(VLOOKUP(C421,Tabela1[#All],11,0)*E421),AND("Venda de produtos",H421="Norte/Centro-Oeste"),(VLOOKUP(C421,Tabela1[#All],13,0)*E421))))))</f>
        <v/>
      </c>
      <c r="G421" s="16" t="str">
        <f>IF(B421="Compra de estoque",VLOOKUP(C421,Tabela1[#All],4,0)*E421,"")</f>
        <v/>
      </c>
      <c r="H421" s="16"/>
    </row>
    <row r="422" spans="1:8" x14ac:dyDescent="0.25">
      <c r="A422" s="14" t="str">
        <f t="shared" ca="1" si="6"/>
        <v/>
      </c>
      <c r="D422" s="15" t="str">
        <f>IF(C422="","",VLOOKUP(C422,Tabela1[#All],2,0))</f>
        <v/>
      </c>
      <c r="F422" s="16" t="str" cm="1">
        <f t="array" ref="F422">IF(B422="","",(IF(B422="Compra de estoque","",(_xlfn.IFS(AND(B422="Venda de produtos",H422="Sul/Sudeste"),(VLOOKUP(C422,Tabela1[#All],9,0)*E422),AND(B422="Venda de produtos",H422="Nordeste"),(VLOOKUP(C422,Tabela1[#All],11,0)*E422),AND("Venda de produtos",H422="Norte/Centro-Oeste"),(VLOOKUP(C422,Tabela1[#All],13,0)*E422))))))</f>
        <v/>
      </c>
      <c r="G422" s="16" t="str">
        <f>IF(B422="Compra de estoque",VLOOKUP(C422,Tabela1[#All],4,0)*E422,"")</f>
        <v/>
      </c>
      <c r="H422" s="16"/>
    </row>
    <row r="423" spans="1:8" x14ac:dyDescent="0.25">
      <c r="A423" s="14" t="str">
        <f t="shared" ca="1" si="6"/>
        <v/>
      </c>
      <c r="D423" s="15" t="str">
        <f>IF(C423="","",VLOOKUP(C423,Tabela1[#All],2,0))</f>
        <v/>
      </c>
      <c r="F423" s="16" t="str" cm="1">
        <f t="array" ref="F423">IF(B423="","",(IF(B423="Compra de estoque","",(_xlfn.IFS(AND(B423="Venda de produtos",H423="Sul/Sudeste"),(VLOOKUP(C423,Tabela1[#All],9,0)*E423),AND(B423="Venda de produtos",H423="Nordeste"),(VLOOKUP(C423,Tabela1[#All],11,0)*E423),AND("Venda de produtos",H423="Norte/Centro-Oeste"),(VLOOKUP(C423,Tabela1[#All],13,0)*E423))))))</f>
        <v/>
      </c>
      <c r="G423" s="16" t="str">
        <f>IF(B423="Compra de estoque",VLOOKUP(C423,Tabela1[#All],4,0)*E423,"")</f>
        <v/>
      </c>
      <c r="H423" s="16"/>
    </row>
    <row r="424" spans="1:8" x14ac:dyDescent="0.25">
      <c r="A424" s="14" t="str">
        <f t="shared" ca="1" si="6"/>
        <v/>
      </c>
      <c r="D424" s="15" t="str">
        <f>IF(C424="","",VLOOKUP(C424,Tabela1[#All],2,0))</f>
        <v/>
      </c>
      <c r="F424" s="16" t="str" cm="1">
        <f t="array" ref="F424">IF(B424="","",(IF(B424="Compra de estoque","",(_xlfn.IFS(AND(B424="Venda de produtos",H424="Sul/Sudeste"),(VLOOKUP(C424,Tabela1[#All],9,0)*E424),AND(B424="Venda de produtos",H424="Nordeste"),(VLOOKUP(C424,Tabela1[#All],11,0)*E424),AND("Venda de produtos",H424="Norte/Centro-Oeste"),(VLOOKUP(C424,Tabela1[#All],13,0)*E424))))))</f>
        <v/>
      </c>
      <c r="G424" s="16" t="str">
        <f>IF(B424="Compra de estoque",VLOOKUP(C424,Tabela1[#All],4,0)*E424,"")</f>
        <v/>
      </c>
      <c r="H424" s="16"/>
    </row>
    <row r="425" spans="1:8" x14ac:dyDescent="0.25">
      <c r="A425" s="14" t="str">
        <f t="shared" ca="1" si="6"/>
        <v/>
      </c>
      <c r="D425" s="15" t="str">
        <f>IF(C425="","",VLOOKUP(C425,Tabela1[#All],2,0))</f>
        <v/>
      </c>
      <c r="F425" s="16" t="str" cm="1">
        <f t="array" ref="F425">IF(B425="","",(IF(B425="Compra de estoque","",(_xlfn.IFS(AND(B425="Venda de produtos",H425="Sul/Sudeste"),(VLOOKUP(C425,Tabela1[#All],9,0)*E425),AND(B425="Venda de produtos",H425="Nordeste"),(VLOOKUP(C425,Tabela1[#All],11,0)*E425),AND("Venda de produtos",H425="Norte/Centro-Oeste"),(VLOOKUP(C425,Tabela1[#All],13,0)*E425))))))</f>
        <v/>
      </c>
      <c r="G425" s="16" t="str">
        <f>IF(B425="Compra de estoque",VLOOKUP(C425,Tabela1[#All],4,0)*E425,"")</f>
        <v/>
      </c>
      <c r="H425" s="16"/>
    </row>
    <row r="426" spans="1:8" x14ac:dyDescent="0.25">
      <c r="A426" s="14" t="str">
        <f t="shared" ca="1" si="6"/>
        <v/>
      </c>
      <c r="D426" s="15" t="str">
        <f>IF(C426="","",VLOOKUP(C426,Tabela1[#All],2,0))</f>
        <v/>
      </c>
      <c r="F426" s="16" t="str" cm="1">
        <f t="array" ref="F426">IF(B426="","",(IF(B426="Compra de estoque","",(_xlfn.IFS(AND(B426="Venda de produtos",H426="Sul/Sudeste"),(VLOOKUP(C426,Tabela1[#All],9,0)*E426),AND(B426="Venda de produtos",H426="Nordeste"),(VLOOKUP(C426,Tabela1[#All],11,0)*E426),AND("Venda de produtos",H426="Norte/Centro-Oeste"),(VLOOKUP(C426,Tabela1[#All],13,0)*E426))))))</f>
        <v/>
      </c>
      <c r="G426" s="16" t="str">
        <f>IF(B426="Compra de estoque",VLOOKUP(C426,Tabela1[#All],4,0)*E426,"")</f>
        <v/>
      </c>
      <c r="H426" s="16"/>
    </row>
    <row r="427" spans="1:8" x14ac:dyDescent="0.25">
      <c r="A427" s="14" t="str">
        <f t="shared" ca="1" si="6"/>
        <v/>
      </c>
      <c r="D427" s="15" t="str">
        <f>IF(C427="","",VLOOKUP(C427,Tabela1[#All],2,0))</f>
        <v/>
      </c>
      <c r="F427" s="16" t="str" cm="1">
        <f t="array" ref="F427">IF(B427="","",(IF(B427="Compra de estoque","",(_xlfn.IFS(AND(B427="Venda de produtos",H427="Sul/Sudeste"),(VLOOKUP(C427,Tabela1[#All],9,0)*E427),AND(B427="Venda de produtos",H427="Nordeste"),(VLOOKUP(C427,Tabela1[#All],11,0)*E427),AND("Venda de produtos",H427="Norte/Centro-Oeste"),(VLOOKUP(C427,Tabela1[#All],13,0)*E427))))))</f>
        <v/>
      </c>
      <c r="G427" s="16" t="str">
        <f>IF(B427="Compra de estoque",VLOOKUP(C427,Tabela1[#All],4,0)*E427,"")</f>
        <v/>
      </c>
      <c r="H427" s="16"/>
    </row>
    <row r="428" spans="1:8" x14ac:dyDescent="0.25">
      <c r="A428" s="14" t="str">
        <f t="shared" ca="1" si="6"/>
        <v/>
      </c>
      <c r="D428" s="15" t="str">
        <f>IF(C428="","",VLOOKUP(C428,Tabela1[#All],2,0))</f>
        <v/>
      </c>
      <c r="F428" s="16" t="str" cm="1">
        <f t="array" ref="F428">IF(B428="","",(IF(B428="Compra de estoque","",(_xlfn.IFS(AND(B428="Venda de produtos",H428="Sul/Sudeste"),(VLOOKUP(C428,Tabela1[#All],9,0)*E428),AND(B428="Venda de produtos",H428="Nordeste"),(VLOOKUP(C428,Tabela1[#All],11,0)*E428),AND("Venda de produtos",H428="Norte/Centro-Oeste"),(VLOOKUP(C428,Tabela1[#All],13,0)*E428))))))</f>
        <v/>
      </c>
      <c r="G428" s="16" t="str">
        <f>IF(B428="Compra de estoque",VLOOKUP(C428,Tabela1[#All],4,0)*E428,"")</f>
        <v/>
      </c>
      <c r="H428" s="16"/>
    </row>
    <row r="429" spans="1:8" x14ac:dyDescent="0.25">
      <c r="A429" s="14" t="str">
        <f t="shared" ca="1" si="6"/>
        <v/>
      </c>
      <c r="D429" s="15" t="str">
        <f>IF(C429="","",VLOOKUP(C429,Tabela1[#All],2,0))</f>
        <v/>
      </c>
      <c r="F429" s="16" t="str" cm="1">
        <f t="array" ref="F429">IF(B429="","",(IF(B429="Compra de estoque","",(_xlfn.IFS(AND(B429="Venda de produtos",H429="Sul/Sudeste"),(VLOOKUP(C429,Tabela1[#All],9,0)*E429),AND(B429="Venda de produtos",H429="Nordeste"),(VLOOKUP(C429,Tabela1[#All],11,0)*E429),AND("Venda de produtos",H429="Norte/Centro-Oeste"),(VLOOKUP(C429,Tabela1[#All],13,0)*E429))))))</f>
        <v/>
      </c>
      <c r="G429" s="16" t="str">
        <f>IF(B429="Compra de estoque",VLOOKUP(C429,Tabela1[#All],4,0)*E429,"")</f>
        <v/>
      </c>
      <c r="H429" s="16"/>
    </row>
    <row r="430" spans="1:8" x14ac:dyDescent="0.25">
      <c r="A430" s="14" t="str">
        <f t="shared" ca="1" si="6"/>
        <v/>
      </c>
      <c r="D430" s="15" t="str">
        <f>IF(C430="","",VLOOKUP(C430,Tabela1[#All],2,0))</f>
        <v/>
      </c>
      <c r="F430" s="16" t="str" cm="1">
        <f t="array" ref="F430">IF(B430="","",(IF(B430="Compra de estoque","",(_xlfn.IFS(AND(B430="Venda de produtos",H430="Sul/Sudeste"),(VLOOKUP(C430,Tabela1[#All],9,0)*E430),AND(B430="Venda de produtos",H430="Nordeste"),(VLOOKUP(C430,Tabela1[#All],11,0)*E430),AND("Venda de produtos",H430="Norte/Centro-Oeste"),(VLOOKUP(C430,Tabela1[#All],13,0)*E430))))))</f>
        <v/>
      </c>
      <c r="G430" s="16" t="str">
        <f>IF(B430="Compra de estoque",VLOOKUP(C430,Tabela1[#All],4,0)*E430,"")</f>
        <v/>
      </c>
      <c r="H430" s="16"/>
    </row>
    <row r="431" spans="1:8" x14ac:dyDescent="0.25">
      <c r="A431" s="14" t="str">
        <f t="shared" ca="1" si="6"/>
        <v/>
      </c>
      <c r="D431" s="15" t="str">
        <f>IF(C431="","",VLOOKUP(C431,Tabela1[#All],2,0))</f>
        <v/>
      </c>
      <c r="F431" s="16" t="str" cm="1">
        <f t="array" ref="F431">IF(B431="","",(IF(B431="Compra de estoque","",(_xlfn.IFS(AND(B431="Venda de produtos",H431="Sul/Sudeste"),(VLOOKUP(C431,Tabela1[#All],9,0)*E431),AND(B431="Venda de produtos",H431="Nordeste"),(VLOOKUP(C431,Tabela1[#All],11,0)*E431),AND("Venda de produtos",H431="Norte/Centro-Oeste"),(VLOOKUP(C431,Tabela1[#All],13,0)*E431))))))</f>
        <v/>
      </c>
      <c r="G431" s="16" t="str">
        <f>IF(B431="Compra de estoque",VLOOKUP(C431,Tabela1[#All],4,0)*E431,"")</f>
        <v/>
      </c>
      <c r="H431" s="16"/>
    </row>
    <row r="432" spans="1:8" x14ac:dyDescent="0.25">
      <c r="A432" s="14" t="str">
        <f t="shared" ca="1" si="6"/>
        <v/>
      </c>
      <c r="D432" s="15" t="str">
        <f>IF(C432="","",VLOOKUP(C432,Tabela1[#All],2,0))</f>
        <v/>
      </c>
      <c r="F432" s="16" t="str" cm="1">
        <f t="array" ref="F432">IF(B432="","",(IF(B432="Compra de estoque","",(_xlfn.IFS(AND(B432="Venda de produtos",H432="Sul/Sudeste"),(VLOOKUP(C432,Tabela1[#All],9,0)*E432),AND(B432="Venda de produtos",H432="Nordeste"),(VLOOKUP(C432,Tabela1[#All],11,0)*E432),AND("Venda de produtos",H432="Norte/Centro-Oeste"),(VLOOKUP(C432,Tabela1[#All],13,0)*E432))))))</f>
        <v/>
      </c>
      <c r="G432" s="16" t="str">
        <f>IF(B432="Compra de estoque",VLOOKUP(C432,Tabela1[#All],4,0)*E432,"")</f>
        <v/>
      </c>
      <c r="H432" s="16"/>
    </row>
    <row r="433" spans="1:8" x14ac:dyDescent="0.25">
      <c r="A433" s="14" t="str">
        <f t="shared" ca="1" si="6"/>
        <v/>
      </c>
      <c r="D433" s="15" t="str">
        <f>IF(C433="","",VLOOKUP(C433,Tabela1[#All],2,0))</f>
        <v/>
      </c>
      <c r="F433" s="16" t="str" cm="1">
        <f t="array" ref="F433">IF(B433="","",(IF(B433="Compra de estoque","",(_xlfn.IFS(AND(B433="Venda de produtos",H433="Sul/Sudeste"),(VLOOKUP(C433,Tabela1[#All],9,0)*E433),AND(B433="Venda de produtos",H433="Nordeste"),(VLOOKUP(C433,Tabela1[#All],11,0)*E433),AND("Venda de produtos",H433="Norte/Centro-Oeste"),(VLOOKUP(C433,Tabela1[#All],13,0)*E433))))))</f>
        <v/>
      </c>
      <c r="G433" s="16" t="str">
        <f>IF(B433="Compra de estoque",VLOOKUP(C433,Tabela1[#All],4,0)*E433,"")</f>
        <v/>
      </c>
      <c r="H433" s="16"/>
    </row>
    <row r="434" spans="1:8" x14ac:dyDescent="0.25">
      <c r="A434" s="14" t="str">
        <f t="shared" ca="1" si="6"/>
        <v/>
      </c>
      <c r="D434" s="15" t="str">
        <f>IF(C434="","",VLOOKUP(C434,Tabela1[#All],2,0))</f>
        <v/>
      </c>
      <c r="F434" s="16" t="str" cm="1">
        <f t="array" ref="F434">IF(B434="","",(IF(B434="Compra de estoque","",(_xlfn.IFS(AND(B434="Venda de produtos",H434="Sul/Sudeste"),(VLOOKUP(C434,Tabela1[#All],9,0)*E434),AND(B434="Venda de produtos",H434="Nordeste"),(VLOOKUP(C434,Tabela1[#All],11,0)*E434),AND("Venda de produtos",H434="Norte/Centro-Oeste"),(VLOOKUP(C434,Tabela1[#All],13,0)*E434))))))</f>
        <v/>
      </c>
      <c r="G434" s="16" t="str">
        <f>IF(B434="Compra de estoque",VLOOKUP(C434,Tabela1[#All],4,0)*E434,"")</f>
        <v/>
      </c>
      <c r="H434" s="16"/>
    </row>
    <row r="435" spans="1:8" x14ac:dyDescent="0.25">
      <c r="A435" s="14" t="str">
        <f t="shared" ca="1" si="6"/>
        <v/>
      </c>
      <c r="D435" s="15" t="str">
        <f>IF(C435="","",VLOOKUP(C435,Tabela1[#All],2,0))</f>
        <v/>
      </c>
      <c r="F435" s="16" t="str" cm="1">
        <f t="array" ref="F435">IF(B435="","",(IF(B435="Compra de estoque","",(_xlfn.IFS(AND(B435="Venda de produtos",H435="Sul/Sudeste"),(VLOOKUP(C435,Tabela1[#All],9,0)*E435),AND(B435="Venda de produtos",H435="Nordeste"),(VLOOKUP(C435,Tabela1[#All],11,0)*E435),AND("Venda de produtos",H435="Norte/Centro-Oeste"),(VLOOKUP(C435,Tabela1[#All],13,0)*E435))))))</f>
        <v/>
      </c>
      <c r="G435" s="16" t="str">
        <f>IF(B435="Compra de estoque",VLOOKUP(C435,Tabela1[#All],4,0)*E435,"")</f>
        <v/>
      </c>
      <c r="H435" s="16"/>
    </row>
    <row r="436" spans="1:8" x14ac:dyDescent="0.25">
      <c r="A436" s="14" t="str">
        <f t="shared" ca="1" si="6"/>
        <v/>
      </c>
      <c r="D436" s="15" t="str">
        <f>IF(C436="","",VLOOKUP(C436,Tabela1[#All],2,0))</f>
        <v/>
      </c>
      <c r="F436" s="16" t="str" cm="1">
        <f t="array" ref="F436">IF(B436="","",(IF(B436="Compra de estoque","",(_xlfn.IFS(AND(B436="Venda de produtos",H436="Sul/Sudeste"),(VLOOKUP(C436,Tabela1[#All],9,0)*E436),AND(B436="Venda de produtos",H436="Nordeste"),(VLOOKUP(C436,Tabela1[#All],11,0)*E436),AND("Venda de produtos",H436="Norte/Centro-Oeste"),(VLOOKUP(C436,Tabela1[#All],13,0)*E436))))))</f>
        <v/>
      </c>
      <c r="G436" s="16" t="str">
        <f>IF(B436="Compra de estoque",VLOOKUP(C436,Tabela1[#All],4,0)*E436,"")</f>
        <v/>
      </c>
      <c r="H436" s="16"/>
    </row>
    <row r="437" spans="1:8" x14ac:dyDescent="0.25">
      <c r="A437" s="14" t="str">
        <f t="shared" ca="1" si="6"/>
        <v/>
      </c>
      <c r="D437" s="15" t="str">
        <f>IF(C437="","",VLOOKUP(C437,Tabela1[#All],2,0))</f>
        <v/>
      </c>
      <c r="F437" s="16" t="str" cm="1">
        <f t="array" ref="F437">IF(B437="","",(IF(B437="Compra de estoque","",(_xlfn.IFS(AND(B437="Venda de produtos",H437="Sul/Sudeste"),(VLOOKUP(C437,Tabela1[#All],9,0)*E437),AND(B437="Venda de produtos",H437="Nordeste"),(VLOOKUP(C437,Tabela1[#All],11,0)*E437),AND("Venda de produtos",H437="Norte/Centro-Oeste"),(VLOOKUP(C437,Tabela1[#All],13,0)*E437))))))</f>
        <v/>
      </c>
      <c r="G437" s="16" t="str">
        <f>IF(B437="Compra de estoque",VLOOKUP(C437,Tabela1[#All],4,0)*E437,"")</f>
        <v/>
      </c>
      <c r="H437" s="16"/>
    </row>
    <row r="438" spans="1:8" x14ac:dyDescent="0.25">
      <c r="A438" s="14" t="str">
        <f t="shared" ca="1" si="6"/>
        <v/>
      </c>
      <c r="D438" s="15" t="str">
        <f>IF(C438="","",VLOOKUP(C438,Tabela1[#All],2,0))</f>
        <v/>
      </c>
      <c r="F438" s="16" t="str" cm="1">
        <f t="array" ref="F438">IF(B438="","",(IF(B438="Compra de estoque","",(_xlfn.IFS(AND(B438="Venda de produtos",H438="Sul/Sudeste"),(VLOOKUP(C438,Tabela1[#All],9,0)*E438),AND(B438="Venda de produtos",H438="Nordeste"),(VLOOKUP(C438,Tabela1[#All],11,0)*E438),AND("Venda de produtos",H438="Norte/Centro-Oeste"),(VLOOKUP(C438,Tabela1[#All],13,0)*E438))))))</f>
        <v/>
      </c>
      <c r="G438" s="16" t="str">
        <f>IF(B438="Compra de estoque",VLOOKUP(C438,Tabela1[#All],4,0)*E438,"")</f>
        <v/>
      </c>
      <c r="H438" s="16"/>
    </row>
    <row r="439" spans="1:8" x14ac:dyDescent="0.25">
      <c r="A439" s="14" t="str">
        <f t="shared" ca="1" si="6"/>
        <v/>
      </c>
      <c r="D439" s="15" t="str">
        <f>IF(C439="","",VLOOKUP(C439,Tabela1[#All],2,0))</f>
        <v/>
      </c>
      <c r="F439" s="16" t="str" cm="1">
        <f t="array" ref="F439">IF(B439="","",(IF(B439="Compra de estoque","",(_xlfn.IFS(AND(B439="Venda de produtos",H439="Sul/Sudeste"),(VLOOKUP(C439,Tabela1[#All],9,0)*E439),AND(B439="Venda de produtos",H439="Nordeste"),(VLOOKUP(C439,Tabela1[#All],11,0)*E439),AND("Venda de produtos",H439="Norte/Centro-Oeste"),(VLOOKUP(C439,Tabela1[#All],13,0)*E439))))))</f>
        <v/>
      </c>
      <c r="G439" s="16" t="str">
        <f>IF(B439="Compra de estoque",VLOOKUP(C439,Tabela1[#All],4,0)*E439,"")</f>
        <v/>
      </c>
      <c r="H439" s="16"/>
    </row>
    <row r="440" spans="1:8" x14ac:dyDescent="0.25">
      <c r="A440" s="14" t="str">
        <f t="shared" ca="1" si="6"/>
        <v/>
      </c>
      <c r="D440" s="15" t="str">
        <f>IF(C440="","",VLOOKUP(C440,Tabela1[#All],2,0))</f>
        <v/>
      </c>
      <c r="F440" s="16" t="str" cm="1">
        <f t="array" ref="F440">IF(B440="","",(IF(B440="Compra de estoque","",(_xlfn.IFS(AND(B440="Venda de produtos",H440="Sul/Sudeste"),(VLOOKUP(C440,Tabela1[#All],9,0)*E440),AND(B440="Venda de produtos",H440="Nordeste"),(VLOOKUP(C440,Tabela1[#All],11,0)*E440),AND("Venda de produtos",H440="Norte/Centro-Oeste"),(VLOOKUP(C440,Tabela1[#All],13,0)*E440))))))</f>
        <v/>
      </c>
      <c r="G440" s="16" t="str">
        <f>IF(B440="Compra de estoque",VLOOKUP(C440,Tabela1[#All],4,0)*E440,"")</f>
        <v/>
      </c>
      <c r="H440" s="16"/>
    </row>
    <row r="441" spans="1:8" x14ac:dyDescent="0.25">
      <c r="A441" s="14" t="str">
        <f t="shared" ca="1" si="6"/>
        <v/>
      </c>
      <c r="D441" s="15" t="str">
        <f>IF(C441="","",VLOOKUP(C441,Tabela1[#All],2,0))</f>
        <v/>
      </c>
      <c r="F441" s="16" t="str" cm="1">
        <f t="array" ref="F441">IF(B441="","",(IF(B441="Compra de estoque","",(_xlfn.IFS(AND(B441="Venda de produtos",H441="Sul/Sudeste"),(VLOOKUP(C441,Tabela1[#All],9,0)*E441),AND(B441="Venda de produtos",H441="Nordeste"),(VLOOKUP(C441,Tabela1[#All],11,0)*E441),AND("Venda de produtos",H441="Norte/Centro-Oeste"),(VLOOKUP(C441,Tabela1[#All],13,0)*E441))))))</f>
        <v/>
      </c>
      <c r="G441" s="16" t="str">
        <f>IF(B441="Compra de estoque",VLOOKUP(C441,Tabela1[#All],4,0)*E441,"")</f>
        <v/>
      </c>
      <c r="H441" s="16"/>
    </row>
    <row r="442" spans="1:8" x14ac:dyDescent="0.25">
      <c r="A442" s="14" t="str">
        <f t="shared" ca="1" si="6"/>
        <v/>
      </c>
      <c r="D442" s="15" t="str">
        <f>IF(C442="","",VLOOKUP(C442,Tabela1[#All],2,0))</f>
        <v/>
      </c>
      <c r="F442" s="16" t="str" cm="1">
        <f t="array" ref="F442">IF(B442="","",(IF(B442="Compra de estoque","",(_xlfn.IFS(AND(B442="Venda de produtos",H442="Sul/Sudeste"),(VLOOKUP(C442,Tabela1[#All],9,0)*E442),AND(B442="Venda de produtos",H442="Nordeste"),(VLOOKUP(C442,Tabela1[#All],11,0)*E442),AND("Venda de produtos",H442="Norte/Centro-Oeste"),(VLOOKUP(C442,Tabela1[#All],13,0)*E442))))))</f>
        <v/>
      </c>
      <c r="G442" s="16" t="str">
        <f>IF(B442="Compra de estoque",VLOOKUP(C442,Tabela1[#All],4,0)*E442,"")</f>
        <v/>
      </c>
      <c r="H442" s="16"/>
    </row>
    <row r="443" spans="1:8" x14ac:dyDescent="0.25">
      <c r="A443" s="14" t="str">
        <f t="shared" ca="1" si="6"/>
        <v/>
      </c>
      <c r="D443" s="15" t="str">
        <f>IF(C443="","",VLOOKUP(C443,Tabela1[#All],2,0))</f>
        <v/>
      </c>
      <c r="F443" s="16" t="str" cm="1">
        <f t="array" ref="F443">IF(B443="","",(IF(B443="Compra de estoque","",(_xlfn.IFS(AND(B443="Venda de produtos",H443="Sul/Sudeste"),(VLOOKUP(C443,Tabela1[#All],9,0)*E443),AND(B443="Venda de produtos",H443="Nordeste"),(VLOOKUP(C443,Tabela1[#All],11,0)*E443),AND("Venda de produtos",H443="Norte/Centro-Oeste"),(VLOOKUP(C443,Tabela1[#All],13,0)*E443))))))</f>
        <v/>
      </c>
      <c r="G443" s="16" t="str">
        <f>IF(B443="Compra de estoque",VLOOKUP(C443,Tabela1[#All],4,0)*E443,"")</f>
        <v/>
      </c>
      <c r="H443" s="16"/>
    </row>
    <row r="444" spans="1:8" x14ac:dyDescent="0.25">
      <c r="A444" s="14" t="str">
        <f t="shared" ca="1" si="6"/>
        <v/>
      </c>
      <c r="D444" s="15" t="str">
        <f>IF(C444="","",VLOOKUP(C444,Tabela1[#All],2,0))</f>
        <v/>
      </c>
      <c r="F444" s="16" t="str" cm="1">
        <f t="array" ref="F444">IF(B444="","",(IF(B444="Compra de estoque","",(_xlfn.IFS(AND(B444="Venda de produtos",H444="Sul/Sudeste"),(VLOOKUP(C444,Tabela1[#All],9,0)*E444),AND(B444="Venda de produtos",H444="Nordeste"),(VLOOKUP(C444,Tabela1[#All],11,0)*E444),AND("Venda de produtos",H444="Norte/Centro-Oeste"),(VLOOKUP(C444,Tabela1[#All],13,0)*E444))))))</f>
        <v/>
      </c>
      <c r="G444" s="16" t="str">
        <f>IF(B444="Compra de estoque",VLOOKUP(C444,Tabela1[#All],4,0)*E444,"")</f>
        <v/>
      </c>
      <c r="H444" s="16"/>
    </row>
    <row r="445" spans="1:8" x14ac:dyDescent="0.25">
      <c r="A445" s="14" t="str">
        <f t="shared" ca="1" si="6"/>
        <v/>
      </c>
      <c r="D445" s="15" t="str">
        <f>IF(C445="","",VLOOKUP(C445,Tabela1[#All],2,0))</f>
        <v/>
      </c>
      <c r="F445" s="16" t="str" cm="1">
        <f t="array" ref="F445">IF(B445="","",(IF(B445="Compra de estoque","",(_xlfn.IFS(AND(B445="Venda de produtos",H445="Sul/Sudeste"),(VLOOKUP(C445,Tabela1[#All],9,0)*E445),AND(B445="Venda de produtos",H445="Nordeste"),(VLOOKUP(C445,Tabela1[#All],11,0)*E445),AND("Venda de produtos",H445="Norte/Centro-Oeste"),(VLOOKUP(C445,Tabela1[#All],13,0)*E445))))))</f>
        <v/>
      </c>
      <c r="G445" s="16" t="str">
        <f>IF(B445="Compra de estoque",VLOOKUP(C445,Tabela1[#All],4,0)*E445,"")</f>
        <v/>
      </c>
      <c r="H445" s="16"/>
    </row>
    <row r="446" spans="1:8" x14ac:dyDescent="0.25">
      <c r="A446" s="14" t="str">
        <f t="shared" ca="1" si="6"/>
        <v/>
      </c>
      <c r="D446" s="15" t="str">
        <f>IF(C446="","",VLOOKUP(C446,Tabela1[#All],2,0))</f>
        <v/>
      </c>
      <c r="F446" s="16" t="str" cm="1">
        <f t="array" ref="F446">IF(B446="","",(IF(B446="Compra de estoque","",(_xlfn.IFS(AND(B446="Venda de produtos",H446="Sul/Sudeste"),(VLOOKUP(C446,Tabela1[#All],9,0)*E446),AND(B446="Venda de produtos",H446="Nordeste"),(VLOOKUP(C446,Tabela1[#All],11,0)*E446),AND("Venda de produtos",H446="Norte/Centro-Oeste"),(VLOOKUP(C446,Tabela1[#All],13,0)*E446))))))</f>
        <v/>
      </c>
      <c r="G446" s="16" t="str">
        <f>IF(B446="Compra de estoque",VLOOKUP(C446,Tabela1[#All],4,0)*E446,"")</f>
        <v/>
      </c>
      <c r="H446" s="16"/>
    </row>
    <row r="447" spans="1:8" x14ac:dyDescent="0.25">
      <c r="A447" s="14" t="str">
        <f t="shared" ca="1" si="6"/>
        <v/>
      </c>
      <c r="D447" s="15" t="str">
        <f>IF(C447="","",VLOOKUP(C447,Tabela1[#All],2,0))</f>
        <v/>
      </c>
      <c r="F447" s="16" t="str" cm="1">
        <f t="array" ref="F447">IF(B447="","",(IF(B447="Compra de estoque","",(_xlfn.IFS(AND(B447="Venda de produtos",H447="Sul/Sudeste"),(VLOOKUP(C447,Tabela1[#All],9,0)*E447),AND(B447="Venda de produtos",H447="Nordeste"),(VLOOKUP(C447,Tabela1[#All],11,0)*E447),AND("Venda de produtos",H447="Norte/Centro-Oeste"),(VLOOKUP(C447,Tabela1[#All],13,0)*E447))))))</f>
        <v/>
      </c>
      <c r="G447" s="16" t="str">
        <f>IF(B447="Compra de estoque",VLOOKUP(C447,Tabela1[#All],4,0)*E447,"")</f>
        <v/>
      </c>
      <c r="H447" s="16"/>
    </row>
    <row r="448" spans="1:8" x14ac:dyDescent="0.25">
      <c r="A448" s="14" t="str">
        <f t="shared" ca="1" si="6"/>
        <v/>
      </c>
      <c r="D448" s="15" t="str">
        <f>IF(C448="","",VLOOKUP(C448,Tabela1[#All],2,0))</f>
        <v/>
      </c>
      <c r="F448" s="16" t="str" cm="1">
        <f t="array" ref="F448">IF(B448="","",(IF(B448="Compra de estoque","",(_xlfn.IFS(AND(B448="Venda de produtos",H448="Sul/Sudeste"),(VLOOKUP(C448,Tabela1[#All],9,0)*E448),AND(B448="Venda de produtos",H448="Nordeste"),(VLOOKUP(C448,Tabela1[#All],11,0)*E448),AND("Venda de produtos",H448="Norte/Centro-Oeste"),(VLOOKUP(C448,Tabela1[#All],13,0)*E448))))))</f>
        <v/>
      </c>
      <c r="G448" s="16" t="str">
        <f>IF(B448="Compra de estoque",VLOOKUP(C448,Tabela1[#All],4,0)*E448,"")</f>
        <v/>
      </c>
      <c r="H448" s="16"/>
    </row>
    <row r="449" spans="1:8" x14ac:dyDescent="0.25">
      <c r="A449" s="14" t="str">
        <f t="shared" ca="1" si="6"/>
        <v/>
      </c>
      <c r="D449" s="15" t="str">
        <f>IF(C449="","",VLOOKUP(C449,Tabela1[#All],2,0))</f>
        <v/>
      </c>
      <c r="F449" s="16" t="str" cm="1">
        <f t="array" ref="F449">IF(B449="","",(IF(B449="Compra de estoque","",(_xlfn.IFS(AND(B449="Venda de produtos",H449="Sul/Sudeste"),(VLOOKUP(C449,Tabela1[#All],9,0)*E449),AND(B449="Venda de produtos",H449="Nordeste"),(VLOOKUP(C449,Tabela1[#All],11,0)*E449),AND("Venda de produtos",H449="Norte/Centro-Oeste"),(VLOOKUP(C449,Tabela1[#All],13,0)*E449))))))</f>
        <v/>
      </c>
      <c r="G449" s="16" t="str">
        <f>IF(B449="Compra de estoque",VLOOKUP(C449,Tabela1[#All],4,0)*E449,"")</f>
        <v/>
      </c>
      <c r="H449" s="16"/>
    </row>
    <row r="450" spans="1:8" x14ac:dyDescent="0.25">
      <c r="A450" s="14" t="str">
        <f t="shared" ca="1" si="6"/>
        <v/>
      </c>
      <c r="D450" s="15" t="str">
        <f>IF(C450="","",VLOOKUP(C450,Tabela1[#All],2,0))</f>
        <v/>
      </c>
      <c r="F450" s="16" t="str" cm="1">
        <f t="array" ref="F450">IF(B450="","",(IF(B450="Compra de estoque","",(_xlfn.IFS(AND(B450="Venda de produtos",H450="Sul/Sudeste"),(VLOOKUP(C450,Tabela1[#All],9,0)*E450),AND(B450="Venda de produtos",H450="Nordeste"),(VLOOKUP(C450,Tabela1[#All],11,0)*E450),AND("Venda de produtos",H450="Norte/Centro-Oeste"),(VLOOKUP(C450,Tabela1[#All],13,0)*E450))))))</f>
        <v/>
      </c>
      <c r="G450" s="16" t="str">
        <f>IF(B450="Compra de estoque",VLOOKUP(C450,Tabela1[#All],4,0)*E450,"")</f>
        <v/>
      </c>
      <c r="H450" s="16"/>
    </row>
    <row r="451" spans="1:8" x14ac:dyDescent="0.25">
      <c r="A451" s="14" t="str">
        <f t="shared" ref="A451:A514" ca="1" si="7">IF(C451="","",NOW())</f>
        <v/>
      </c>
      <c r="D451" s="15" t="str">
        <f>IF(C451="","",VLOOKUP(C451,Tabela1[#All],2,0))</f>
        <v/>
      </c>
      <c r="F451" s="16" t="str" cm="1">
        <f t="array" ref="F451">IF(B451="","",(IF(B451="Compra de estoque","",(_xlfn.IFS(AND(B451="Venda de produtos",H451="Sul/Sudeste"),(VLOOKUP(C451,Tabela1[#All],9,0)*E451),AND(B451="Venda de produtos",H451="Nordeste"),(VLOOKUP(C451,Tabela1[#All],11,0)*E451),AND("Venda de produtos",H451="Norte/Centro-Oeste"),(VLOOKUP(C451,Tabela1[#All],13,0)*E451))))))</f>
        <v/>
      </c>
      <c r="G451" s="16" t="str">
        <f>IF(B451="Compra de estoque",VLOOKUP(C451,Tabela1[#All],4,0)*E451,"")</f>
        <v/>
      </c>
      <c r="H451" s="16"/>
    </row>
    <row r="452" spans="1:8" x14ac:dyDescent="0.25">
      <c r="A452" s="14" t="str">
        <f t="shared" ca="1" si="7"/>
        <v/>
      </c>
      <c r="D452" s="15" t="str">
        <f>IF(C452="","",VLOOKUP(C452,Tabela1[#All],2,0))</f>
        <v/>
      </c>
      <c r="F452" s="16" t="str" cm="1">
        <f t="array" ref="F452">IF(B452="","",(IF(B452="Compra de estoque","",(_xlfn.IFS(AND(B452="Venda de produtos",H452="Sul/Sudeste"),(VLOOKUP(C452,Tabela1[#All],9,0)*E452),AND(B452="Venda de produtos",H452="Nordeste"),(VLOOKUP(C452,Tabela1[#All],11,0)*E452),AND("Venda de produtos",H452="Norte/Centro-Oeste"),(VLOOKUP(C452,Tabela1[#All],13,0)*E452))))))</f>
        <v/>
      </c>
      <c r="G452" s="16" t="str">
        <f>IF(B452="Compra de estoque",VLOOKUP(C452,Tabela1[#All],4,0)*E452,"")</f>
        <v/>
      </c>
      <c r="H452" s="16"/>
    </row>
    <row r="453" spans="1:8" x14ac:dyDescent="0.25">
      <c r="A453" s="14" t="str">
        <f t="shared" ca="1" si="7"/>
        <v/>
      </c>
      <c r="D453" s="15" t="str">
        <f>IF(C453="","",VLOOKUP(C453,Tabela1[#All],2,0))</f>
        <v/>
      </c>
      <c r="F453" s="16" t="str" cm="1">
        <f t="array" ref="F453">IF(B453="","",(IF(B453="Compra de estoque","",(_xlfn.IFS(AND(B453="Venda de produtos",H453="Sul/Sudeste"),(VLOOKUP(C453,Tabela1[#All],9,0)*E453),AND(B453="Venda de produtos",H453="Nordeste"),(VLOOKUP(C453,Tabela1[#All],11,0)*E453),AND("Venda de produtos",H453="Norte/Centro-Oeste"),(VLOOKUP(C453,Tabela1[#All],13,0)*E453))))))</f>
        <v/>
      </c>
      <c r="G453" s="16" t="str">
        <f>IF(B453="Compra de estoque",VLOOKUP(C453,Tabela1[#All],4,0)*E453,"")</f>
        <v/>
      </c>
      <c r="H453" s="16"/>
    </row>
    <row r="454" spans="1:8" x14ac:dyDescent="0.25">
      <c r="A454" s="14" t="str">
        <f t="shared" ca="1" si="7"/>
        <v/>
      </c>
      <c r="D454" s="15" t="str">
        <f>IF(C454="","",VLOOKUP(C454,Tabela1[#All],2,0))</f>
        <v/>
      </c>
      <c r="F454" s="16" t="str" cm="1">
        <f t="array" ref="F454">IF(B454="","",(IF(B454="Compra de estoque","",(_xlfn.IFS(AND(B454="Venda de produtos",H454="Sul/Sudeste"),(VLOOKUP(C454,Tabela1[#All],9,0)*E454),AND(B454="Venda de produtos",H454="Nordeste"),(VLOOKUP(C454,Tabela1[#All],11,0)*E454),AND("Venda de produtos",H454="Norte/Centro-Oeste"),(VLOOKUP(C454,Tabela1[#All],13,0)*E454))))))</f>
        <v/>
      </c>
      <c r="G454" s="16" t="str">
        <f>IF(B454="Compra de estoque",VLOOKUP(C454,Tabela1[#All],4,0)*E454,"")</f>
        <v/>
      </c>
      <c r="H454" s="16"/>
    </row>
    <row r="455" spans="1:8" x14ac:dyDescent="0.25">
      <c r="A455" s="14" t="str">
        <f t="shared" ca="1" si="7"/>
        <v/>
      </c>
      <c r="D455" s="15" t="str">
        <f>IF(C455="","",VLOOKUP(C455,Tabela1[#All],2,0))</f>
        <v/>
      </c>
      <c r="F455" s="16" t="str" cm="1">
        <f t="array" ref="F455">IF(B455="","",(IF(B455="Compra de estoque","",(_xlfn.IFS(AND(B455="Venda de produtos",H455="Sul/Sudeste"),(VLOOKUP(C455,Tabela1[#All],9,0)*E455),AND(B455="Venda de produtos",H455="Nordeste"),(VLOOKUP(C455,Tabela1[#All],11,0)*E455),AND("Venda de produtos",H455="Norte/Centro-Oeste"),(VLOOKUP(C455,Tabela1[#All],13,0)*E455))))))</f>
        <v/>
      </c>
      <c r="G455" s="16" t="str">
        <f>IF(B455="Compra de estoque",VLOOKUP(C455,Tabela1[#All],4,0)*E455,"")</f>
        <v/>
      </c>
      <c r="H455" s="16"/>
    </row>
    <row r="456" spans="1:8" x14ac:dyDescent="0.25">
      <c r="A456" s="14" t="str">
        <f t="shared" ca="1" si="7"/>
        <v/>
      </c>
      <c r="D456" s="15" t="str">
        <f>IF(C456="","",VLOOKUP(C456,Tabela1[#All],2,0))</f>
        <v/>
      </c>
      <c r="F456" s="16" t="str" cm="1">
        <f t="array" ref="F456">IF(B456="","",(IF(B456="Compra de estoque","",(_xlfn.IFS(AND(B456="Venda de produtos",H456="Sul/Sudeste"),(VLOOKUP(C456,Tabela1[#All],9,0)*E456),AND(B456="Venda de produtos",H456="Nordeste"),(VLOOKUP(C456,Tabela1[#All],11,0)*E456),AND("Venda de produtos",H456="Norte/Centro-Oeste"),(VLOOKUP(C456,Tabela1[#All],13,0)*E456))))))</f>
        <v/>
      </c>
      <c r="G456" s="16" t="str">
        <f>IF(B456="Compra de estoque",VLOOKUP(C456,Tabela1[#All],4,0)*E456,"")</f>
        <v/>
      </c>
      <c r="H456" s="16"/>
    </row>
    <row r="457" spans="1:8" x14ac:dyDescent="0.25">
      <c r="A457" s="14" t="str">
        <f t="shared" ca="1" si="7"/>
        <v/>
      </c>
      <c r="D457" s="15" t="str">
        <f>IF(C457="","",VLOOKUP(C457,Tabela1[#All],2,0))</f>
        <v/>
      </c>
      <c r="F457" s="16" t="str" cm="1">
        <f t="array" ref="F457">IF(B457="","",(IF(B457="Compra de estoque","",(_xlfn.IFS(AND(B457="Venda de produtos",H457="Sul/Sudeste"),(VLOOKUP(C457,Tabela1[#All],9,0)*E457),AND(B457="Venda de produtos",H457="Nordeste"),(VLOOKUP(C457,Tabela1[#All],11,0)*E457),AND("Venda de produtos",H457="Norte/Centro-Oeste"),(VLOOKUP(C457,Tabela1[#All],13,0)*E457))))))</f>
        <v/>
      </c>
      <c r="G457" s="16" t="str">
        <f>IF(B457="Compra de estoque",VLOOKUP(C457,Tabela1[#All],4,0)*E457,"")</f>
        <v/>
      </c>
      <c r="H457" s="16"/>
    </row>
    <row r="458" spans="1:8" x14ac:dyDescent="0.25">
      <c r="A458" s="14" t="str">
        <f t="shared" ca="1" si="7"/>
        <v/>
      </c>
      <c r="D458" s="15" t="str">
        <f>IF(C458="","",VLOOKUP(C458,Tabela1[#All],2,0))</f>
        <v/>
      </c>
      <c r="F458" s="16" t="str" cm="1">
        <f t="array" ref="F458">IF(B458="","",(IF(B458="Compra de estoque","",(_xlfn.IFS(AND(B458="Venda de produtos",H458="Sul/Sudeste"),(VLOOKUP(C458,Tabela1[#All],9,0)*E458),AND(B458="Venda de produtos",H458="Nordeste"),(VLOOKUP(C458,Tabela1[#All],11,0)*E458),AND("Venda de produtos",H458="Norte/Centro-Oeste"),(VLOOKUP(C458,Tabela1[#All],13,0)*E458))))))</f>
        <v/>
      </c>
      <c r="G458" s="16" t="str">
        <f>IF(B458="Compra de estoque",VLOOKUP(C458,Tabela1[#All],4,0)*E458,"")</f>
        <v/>
      </c>
      <c r="H458" s="16"/>
    </row>
    <row r="459" spans="1:8" x14ac:dyDescent="0.25">
      <c r="A459" s="14" t="str">
        <f t="shared" ca="1" si="7"/>
        <v/>
      </c>
      <c r="D459" s="15" t="str">
        <f>IF(C459="","",VLOOKUP(C459,Tabela1[#All],2,0))</f>
        <v/>
      </c>
      <c r="F459" s="16" t="str" cm="1">
        <f t="array" ref="F459">IF(B459="","",(IF(B459="Compra de estoque","",(_xlfn.IFS(AND(B459="Venda de produtos",H459="Sul/Sudeste"),(VLOOKUP(C459,Tabela1[#All],9,0)*E459),AND(B459="Venda de produtos",H459="Nordeste"),(VLOOKUP(C459,Tabela1[#All],11,0)*E459),AND("Venda de produtos",H459="Norte/Centro-Oeste"),(VLOOKUP(C459,Tabela1[#All],13,0)*E459))))))</f>
        <v/>
      </c>
      <c r="G459" s="16" t="str">
        <f>IF(B459="Compra de estoque",VLOOKUP(C459,Tabela1[#All],4,0)*E459,"")</f>
        <v/>
      </c>
      <c r="H459" s="16"/>
    </row>
    <row r="460" spans="1:8" x14ac:dyDescent="0.25">
      <c r="A460" s="14" t="str">
        <f t="shared" ca="1" si="7"/>
        <v/>
      </c>
      <c r="D460" s="15" t="str">
        <f>IF(C460="","",VLOOKUP(C460,Tabela1[#All],2,0))</f>
        <v/>
      </c>
      <c r="F460" s="16" t="str" cm="1">
        <f t="array" ref="F460">IF(B460="","",(IF(B460="Compra de estoque","",(_xlfn.IFS(AND(B460="Venda de produtos",H460="Sul/Sudeste"),(VLOOKUP(C460,Tabela1[#All],9,0)*E460),AND(B460="Venda de produtos",H460="Nordeste"),(VLOOKUP(C460,Tabela1[#All],11,0)*E460),AND("Venda de produtos",H460="Norte/Centro-Oeste"),(VLOOKUP(C460,Tabela1[#All],13,0)*E460))))))</f>
        <v/>
      </c>
      <c r="G460" s="16" t="str">
        <f>IF(B460="Compra de estoque",VLOOKUP(C460,Tabela1[#All],4,0)*E460,"")</f>
        <v/>
      </c>
      <c r="H460" s="16"/>
    </row>
    <row r="461" spans="1:8" x14ac:dyDescent="0.25">
      <c r="A461" s="14" t="str">
        <f t="shared" ca="1" si="7"/>
        <v/>
      </c>
      <c r="D461" s="15" t="str">
        <f>IF(C461="","",VLOOKUP(C461,Tabela1[#All],2,0))</f>
        <v/>
      </c>
      <c r="F461" s="16" t="str" cm="1">
        <f t="array" ref="F461">IF(B461="","",(IF(B461="Compra de estoque","",(_xlfn.IFS(AND(B461="Venda de produtos",H461="Sul/Sudeste"),(VLOOKUP(C461,Tabela1[#All],9,0)*E461),AND(B461="Venda de produtos",H461="Nordeste"),(VLOOKUP(C461,Tabela1[#All],11,0)*E461),AND("Venda de produtos",H461="Norte/Centro-Oeste"),(VLOOKUP(C461,Tabela1[#All],13,0)*E461))))))</f>
        <v/>
      </c>
      <c r="G461" s="16" t="str">
        <f>IF(B461="Compra de estoque",VLOOKUP(C461,Tabela1[#All],4,0)*E461,"")</f>
        <v/>
      </c>
      <c r="H461" s="16"/>
    </row>
    <row r="462" spans="1:8" x14ac:dyDescent="0.25">
      <c r="A462" s="14" t="str">
        <f t="shared" ca="1" si="7"/>
        <v/>
      </c>
      <c r="D462" s="15" t="str">
        <f>IF(C462="","",VLOOKUP(C462,Tabela1[#All],2,0))</f>
        <v/>
      </c>
      <c r="F462" s="16" t="str" cm="1">
        <f t="array" ref="F462">IF(B462="","",(IF(B462="Compra de estoque","",(_xlfn.IFS(AND(B462="Venda de produtos",H462="Sul/Sudeste"),(VLOOKUP(C462,Tabela1[#All],9,0)*E462),AND(B462="Venda de produtos",H462="Nordeste"),(VLOOKUP(C462,Tabela1[#All],11,0)*E462),AND("Venda de produtos",H462="Norte/Centro-Oeste"),(VLOOKUP(C462,Tabela1[#All],13,0)*E462))))))</f>
        <v/>
      </c>
      <c r="G462" s="16" t="str">
        <f>IF(B462="Compra de estoque",VLOOKUP(C462,Tabela1[#All],4,0)*E462,"")</f>
        <v/>
      </c>
      <c r="H462" s="16"/>
    </row>
    <row r="463" spans="1:8" x14ac:dyDescent="0.25">
      <c r="A463" s="14" t="str">
        <f t="shared" ca="1" si="7"/>
        <v/>
      </c>
      <c r="D463" s="15" t="str">
        <f>IF(C463="","",VLOOKUP(C463,Tabela1[#All],2,0))</f>
        <v/>
      </c>
      <c r="F463" s="16" t="str" cm="1">
        <f t="array" ref="F463">IF(B463="","",(IF(B463="Compra de estoque","",(_xlfn.IFS(AND(B463="Venda de produtos",H463="Sul/Sudeste"),(VLOOKUP(C463,Tabela1[#All],9,0)*E463),AND(B463="Venda de produtos",H463="Nordeste"),(VLOOKUP(C463,Tabela1[#All],11,0)*E463),AND("Venda de produtos",H463="Norte/Centro-Oeste"),(VLOOKUP(C463,Tabela1[#All],13,0)*E463))))))</f>
        <v/>
      </c>
      <c r="G463" s="16" t="str">
        <f>IF(B463="Compra de estoque",VLOOKUP(C463,Tabela1[#All],4,0)*E463,"")</f>
        <v/>
      </c>
      <c r="H463" s="16"/>
    </row>
    <row r="464" spans="1:8" x14ac:dyDescent="0.25">
      <c r="A464" s="14" t="str">
        <f t="shared" ca="1" si="7"/>
        <v/>
      </c>
      <c r="D464" s="15" t="str">
        <f>IF(C464="","",VLOOKUP(C464,Tabela1[#All],2,0))</f>
        <v/>
      </c>
      <c r="F464" s="16" t="str" cm="1">
        <f t="array" ref="F464">IF(B464="","",(IF(B464="Compra de estoque","",(_xlfn.IFS(AND(B464="Venda de produtos",H464="Sul/Sudeste"),(VLOOKUP(C464,Tabela1[#All],9,0)*E464),AND(B464="Venda de produtos",H464="Nordeste"),(VLOOKUP(C464,Tabela1[#All],11,0)*E464),AND("Venda de produtos",H464="Norte/Centro-Oeste"),(VLOOKUP(C464,Tabela1[#All],13,0)*E464))))))</f>
        <v/>
      </c>
      <c r="G464" s="16" t="str">
        <f>IF(B464="Compra de estoque",VLOOKUP(C464,Tabela1[#All],4,0)*E464,"")</f>
        <v/>
      </c>
      <c r="H464" s="16"/>
    </row>
    <row r="465" spans="1:8" x14ac:dyDescent="0.25">
      <c r="A465" s="14" t="str">
        <f t="shared" ca="1" si="7"/>
        <v/>
      </c>
      <c r="D465" s="15" t="str">
        <f>IF(C465="","",VLOOKUP(C465,Tabela1[#All],2,0))</f>
        <v/>
      </c>
      <c r="F465" s="16" t="str" cm="1">
        <f t="array" ref="F465">IF(B465="","",(IF(B465="Compra de estoque","",(_xlfn.IFS(AND(B465="Venda de produtos",H465="Sul/Sudeste"),(VLOOKUP(C465,Tabela1[#All],9,0)*E465),AND(B465="Venda de produtos",H465="Nordeste"),(VLOOKUP(C465,Tabela1[#All],11,0)*E465),AND("Venda de produtos",H465="Norte/Centro-Oeste"),(VLOOKUP(C465,Tabela1[#All],13,0)*E465))))))</f>
        <v/>
      </c>
      <c r="G465" s="16" t="str">
        <f>IF(B465="Compra de estoque",VLOOKUP(C465,Tabela1[#All],4,0)*E465,"")</f>
        <v/>
      </c>
      <c r="H465" s="16"/>
    </row>
    <row r="466" spans="1:8" x14ac:dyDescent="0.25">
      <c r="A466" s="14" t="str">
        <f t="shared" ca="1" si="7"/>
        <v/>
      </c>
      <c r="D466" s="15" t="str">
        <f>IF(C466="","",VLOOKUP(C466,Tabela1[#All],2,0))</f>
        <v/>
      </c>
      <c r="F466" s="16" t="str" cm="1">
        <f t="array" ref="F466">IF(B466="","",(IF(B466="Compra de estoque","",(_xlfn.IFS(AND(B466="Venda de produtos",H466="Sul/Sudeste"),(VLOOKUP(C466,Tabela1[#All],9,0)*E466),AND(B466="Venda de produtos",H466="Nordeste"),(VLOOKUP(C466,Tabela1[#All],11,0)*E466),AND("Venda de produtos",H466="Norte/Centro-Oeste"),(VLOOKUP(C466,Tabela1[#All],13,0)*E466))))))</f>
        <v/>
      </c>
      <c r="G466" s="16" t="str">
        <f>IF(B466="Compra de estoque",VLOOKUP(C466,Tabela1[#All],4,0)*E466,"")</f>
        <v/>
      </c>
      <c r="H466" s="16"/>
    </row>
    <row r="467" spans="1:8" x14ac:dyDescent="0.25">
      <c r="A467" s="14" t="str">
        <f t="shared" ca="1" si="7"/>
        <v/>
      </c>
      <c r="D467" s="15" t="str">
        <f>IF(C467="","",VLOOKUP(C467,Tabela1[#All],2,0))</f>
        <v/>
      </c>
      <c r="F467" s="16" t="str" cm="1">
        <f t="array" ref="F467">IF(B467="","",(IF(B467="Compra de estoque","",(_xlfn.IFS(AND(B467="Venda de produtos",H467="Sul/Sudeste"),(VLOOKUP(C467,Tabela1[#All],9,0)*E467),AND(B467="Venda de produtos",H467="Nordeste"),(VLOOKUP(C467,Tabela1[#All],11,0)*E467),AND("Venda de produtos",H467="Norte/Centro-Oeste"),(VLOOKUP(C467,Tabela1[#All],13,0)*E467))))))</f>
        <v/>
      </c>
      <c r="G467" s="16" t="str">
        <f>IF(B467="Compra de estoque",VLOOKUP(C467,Tabela1[#All],4,0)*E467,"")</f>
        <v/>
      </c>
      <c r="H467" s="16"/>
    </row>
    <row r="468" spans="1:8" x14ac:dyDescent="0.25">
      <c r="A468" s="14" t="str">
        <f t="shared" ca="1" si="7"/>
        <v/>
      </c>
      <c r="D468" s="15" t="str">
        <f>IF(C468="","",VLOOKUP(C468,Tabela1[#All],2,0))</f>
        <v/>
      </c>
      <c r="F468" s="16" t="str" cm="1">
        <f t="array" ref="F468">IF(B468="","",(IF(B468="Compra de estoque","",(_xlfn.IFS(AND(B468="Venda de produtos",H468="Sul/Sudeste"),(VLOOKUP(C468,Tabela1[#All],9,0)*E468),AND(B468="Venda de produtos",H468="Nordeste"),(VLOOKUP(C468,Tabela1[#All],11,0)*E468),AND("Venda de produtos",H468="Norte/Centro-Oeste"),(VLOOKUP(C468,Tabela1[#All],13,0)*E468))))))</f>
        <v/>
      </c>
      <c r="G468" s="16" t="str">
        <f>IF(B468="Compra de estoque",VLOOKUP(C468,Tabela1[#All],4,0)*E468,"")</f>
        <v/>
      </c>
      <c r="H468" s="16"/>
    </row>
    <row r="469" spans="1:8" x14ac:dyDescent="0.25">
      <c r="A469" s="14" t="str">
        <f t="shared" ca="1" si="7"/>
        <v/>
      </c>
      <c r="D469" s="15" t="str">
        <f>IF(C469="","",VLOOKUP(C469,Tabela1[#All],2,0))</f>
        <v/>
      </c>
      <c r="F469" s="16" t="str" cm="1">
        <f t="array" ref="F469">IF(B469="","",(IF(B469="Compra de estoque","",(_xlfn.IFS(AND(B469="Venda de produtos",H469="Sul/Sudeste"),(VLOOKUP(C469,Tabela1[#All],9,0)*E469),AND(B469="Venda de produtos",H469="Nordeste"),(VLOOKUP(C469,Tabela1[#All],11,0)*E469),AND("Venda de produtos",H469="Norte/Centro-Oeste"),(VLOOKUP(C469,Tabela1[#All],13,0)*E469))))))</f>
        <v/>
      </c>
      <c r="G469" s="16" t="str">
        <f>IF(B469="Compra de estoque",VLOOKUP(C469,Tabela1[#All],4,0)*E469,"")</f>
        <v/>
      </c>
      <c r="H469" s="16"/>
    </row>
    <row r="470" spans="1:8" x14ac:dyDescent="0.25">
      <c r="A470" s="14" t="str">
        <f t="shared" ca="1" si="7"/>
        <v/>
      </c>
      <c r="D470" s="15" t="str">
        <f>IF(C470="","",VLOOKUP(C470,Tabela1[#All],2,0))</f>
        <v/>
      </c>
      <c r="F470" s="16" t="str" cm="1">
        <f t="array" ref="F470">IF(B470="","",(IF(B470="Compra de estoque","",(_xlfn.IFS(AND(B470="Venda de produtos",H470="Sul/Sudeste"),(VLOOKUP(C470,Tabela1[#All],9,0)*E470),AND(B470="Venda de produtos",H470="Nordeste"),(VLOOKUP(C470,Tabela1[#All],11,0)*E470),AND("Venda de produtos",H470="Norte/Centro-Oeste"),(VLOOKUP(C470,Tabela1[#All],13,0)*E470))))))</f>
        <v/>
      </c>
      <c r="G470" s="16" t="str">
        <f>IF(B470="Compra de estoque",VLOOKUP(C470,Tabela1[#All],4,0)*E470,"")</f>
        <v/>
      </c>
      <c r="H470" s="16"/>
    </row>
    <row r="471" spans="1:8" x14ac:dyDescent="0.25">
      <c r="A471" s="14" t="str">
        <f t="shared" ca="1" si="7"/>
        <v/>
      </c>
      <c r="D471" s="15" t="str">
        <f>IF(C471="","",VLOOKUP(C471,Tabela1[#All],2,0))</f>
        <v/>
      </c>
      <c r="F471" s="16" t="str" cm="1">
        <f t="array" ref="F471">IF(B471="","",(IF(B471="Compra de estoque","",(_xlfn.IFS(AND(B471="Venda de produtos",H471="Sul/Sudeste"),(VLOOKUP(C471,Tabela1[#All],9,0)*E471),AND(B471="Venda de produtos",H471="Nordeste"),(VLOOKUP(C471,Tabela1[#All],11,0)*E471),AND("Venda de produtos",H471="Norte/Centro-Oeste"),(VLOOKUP(C471,Tabela1[#All],13,0)*E471))))))</f>
        <v/>
      </c>
      <c r="G471" s="16" t="str">
        <f>IF(B471="Compra de estoque",VLOOKUP(C471,Tabela1[#All],4,0)*E471,"")</f>
        <v/>
      </c>
      <c r="H471" s="16"/>
    </row>
    <row r="472" spans="1:8" x14ac:dyDescent="0.25">
      <c r="A472" s="14" t="str">
        <f t="shared" ca="1" si="7"/>
        <v/>
      </c>
      <c r="D472" s="15" t="str">
        <f>IF(C472="","",VLOOKUP(C472,Tabela1[#All],2,0))</f>
        <v/>
      </c>
      <c r="F472" s="16" t="str" cm="1">
        <f t="array" ref="F472">IF(B472="","",(IF(B472="Compra de estoque","",(_xlfn.IFS(AND(B472="Venda de produtos",H472="Sul/Sudeste"),(VLOOKUP(C472,Tabela1[#All],9,0)*E472),AND(B472="Venda de produtos",H472="Nordeste"),(VLOOKUP(C472,Tabela1[#All],11,0)*E472),AND("Venda de produtos",H472="Norte/Centro-Oeste"),(VLOOKUP(C472,Tabela1[#All],13,0)*E472))))))</f>
        <v/>
      </c>
      <c r="G472" s="16" t="str">
        <f>IF(B472="Compra de estoque",VLOOKUP(C472,Tabela1[#All],4,0)*E472,"")</f>
        <v/>
      </c>
      <c r="H472" s="16"/>
    </row>
    <row r="473" spans="1:8" x14ac:dyDescent="0.25">
      <c r="A473" s="14" t="str">
        <f t="shared" ca="1" si="7"/>
        <v/>
      </c>
      <c r="D473" s="15" t="str">
        <f>IF(C473="","",VLOOKUP(C473,Tabela1[#All],2,0))</f>
        <v/>
      </c>
      <c r="F473" s="16" t="str" cm="1">
        <f t="array" ref="F473">IF(B473="","",(IF(B473="Compra de estoque","",(_xlfn.IFS(AND(B473="Venda de produtos",H473="Sul/Sudeste"),(VLOOKUP(C473,Tabela1[#All],9,0)*E473),AND(B473="Venda de produtos",H473="Nordeste"),(VLOOKUP(C473,Tabela1[#All],11,0)*E473),AND("Venda de produtos",H473="Norte/Centro-Oeste"),(VLOOKUP(C473,Tabela1[#All],13,0)*E473))))))</f>
        <v/>
      </c>
      <c r="G473" s="16" t="str">
        <f>IF(B473="Compra de estoque",VLOOKUP(C473,Tabela1[#All],4,0)*E473,"")</f>
        <v/>
      </c>
      <c r="H473" s="16"/>
    </row>
    <row r="474" spans="1:8" x14ac:dyDescent="0.25">
      <c r="A474" s="14" t="str">
        <f t="shared" ca="1" si="7"/>
        <v/>
      </c>
      <c r="D474" s="15" t="str">
        <f>IF(C474="","",VLOOKUP(C474,Tabela1[#All],2,0))</f>
        <v/>
      </c>
      <c r="F474" s="16" t="str" cm="1">
        <f t="array" ref="F474">IF(B474="","",(IF(B474="Compra de estoque","",(_xlfn.IFS(AND(B474="Venda de produtos",H474="Sul/Sudeste"),(VLOOKUP(C474,Tabela1[#All],9,0)*E474),AND(B474="Venda de produtos",H474="Nordeste"),(VLOOKUP(C474,Tabela1[#All],11,0)*E474),AND("Venda de produtos",H474="Norte/Centro-Oeste"),(VLOOKUP(C474,Tabela1[#All],13,0)*E474))))))</f>
        <v/>
      </c>
      <c r="G474" s="16" t="str">
        <f>IF(B474="Compra de estoque",VLOOKUP(C474,Tabela1[#All],4,0)*E474,"")</f>
        <v/>
      </c>
      <c r="H474" s="16"/>
    </row>
    <row r="475" spans="1:8" x14ac:dyDescent="0.25">
      <c r="A475" s="14" t="str">
        <f t="shared" ca="1" si="7"/>
        <v/>
      </c>
      <c r="D475" s="15" t="str">
        <f>IF(C475="","",VLOOKUP(C475,Tabela1[#All],2,0))</f>
        <v/>
      </c>
      <c r="F475" s="16" t="str" cm="1">
        <f t="array" ref="F475">IF(B475="","",(IF(B475="Compra de estoque","",(_xlfn.IFS(AND(B475="Venda de produtos",H475="Sul/Sudeste"),(VLOOKUP(C475,Tabela1[#All],9,0)*E475),AND(B475="Venda de produtos",H475="Nordeste"),(VLOOKUP(C475,Tabela1[#All],11,0)*E475),AND("Venda de produtos",H475="Norte/Centro-Oeste"),(VLOOKUP(C475,Tabela1[#All],13,0)*E475))))))</f>
        <v/>
      </c>
      <c r="G475" s="16" t="str">
        <f>IF(B475="Compra de estoque",VLOOKUP(C475,Tabela1[#All],4,0)*E475,"")</f>
        <v/>
      </c>
      <c r="H475" s="16"/>
    </row>
    <row r="476" spans="1:8" x14ac:dyDescent="0.25">
      <c r="A476" s="14" t="str">
        <f t="shared" ca="1" si="7"/>
        <v/>
      </c>
      <c r="D476" s="15" t="str">
        <f>IF(C476="","",VLOOKUP(C476,Tabela1[#All],2,0))</f>
        <v/>
      </c>
      <c r="F476" s="16" t="str" cm="1">
        <f t="array" ref="F476">IF(B476="","",(IF(B476="Compra de estoque","",(_xlfn.IFS(AND(B476="Venda de produtos",H476="Sul/Sudeste"),(VLOOKUP(C476,Tabela1[#All],9,0)*E476),AND(B476="Venda de produtos",H476="Nordeste"),(VLOOKUP(C476,Tabela1[#All],11,0)*E476),AND("Venda de produtos",H476="Norte/Centro-Oeste"),(VLOOKUP(C476,Tabela1[#All],13,0)*E476))))))</f>
        <v/>
      </c>
      <c r="G476" s="16" t="str">
        <f>IF(B476="Compra de estoque",VLOOKUP(C476,Tabela1[#All],4,0)*E476,"")</f>
        <v/>
      </c>
      <c r="H476" s="16"/>
    </row>
    <row r="477" spans="1:8" x14ac:dyDescent="0.25">
      <c r="A477" s="14" t="str">
        <f t="shared" ca="1" si="7"/>
        <v/>
      </c>
      <c r="D477" s="15" t="str">
        <f>IF(C477="","",VLOOKUP(C477,Tabela1[#All],2,0))</f>
        <v/>
      </c>
      <c r="F477" s="16" t="str" cm="1">
        <f t="array" ref="F477">IF(B477="","",(IF(B477="Compra de estoque","",(_xlfn.IFS(AND(B477="Venda de produtos",H477="Sul/Sudeste"),(VLOOKUP(C477,Tabela1[#All],9,0)*E477),AND(B477="Venda de produtos",H477="Nordeste"),(VLOOKUP(C477,Tabela1[#All],11,0)*E477),AND("Venda de produtos",H477="Norte/Centro-Oeste"),(VLOOKUP(C477,Tabela1[#All],13,0)*E477))))))</f>
        <v/>
      </c>
      <c r="G477" s="16" t="str">
        <f>IF(B477="Compra de estoque",VLOOKUP(C477,Tabela1[#All],4,0)*E477,"")</f>
        <v/>
      </c>
      <c r="H477" s="16"/>
    </row>
    <row r="478" spans="1:8" x14ac:dyDescent="0.25">
      <c r="A478" s="14" t="str">
        <f t="shared" ca="1" si="7"/>
        <v/>
      </c>
      <c r="D478" s="15" t="str">
        <f>IF(C478="","",VLOOKUP(C478,Tabela1[#All],2,0))</f>
        <v/>
      </c>
      <c r="F478" s="16" t="str" cm="1">
        <f t="array" ref="F478">IF(B478="","",(IF(B478="Compra de estoque","",(_xlfn.IFS(AND(B478="Venda de produtos",H478="Sul/Sudeste"),(VLOOKUP(C478,Tabela1[#All],9,0)*E478),AND(B478="Venda de produtos",H478="Nordeste"),(VLOOKUP(C478,Tabela1[#All],11,0)*E478),AND("Venda de produtos",H478="Norte/Centro-Oeste"),(VLOOKUP(C478,Tabela1[#All],13,0)*E478))))))</f>
        <v/>
      </c>
      <c r="G478" s="16" t="str">
        <f>IF(B478="Compra de estoque",VLOOKUP(C478,Tabela1[#All],4,0)*E478,"")</f>
        <v/>
      </c>
      <c r="H478" s="16"/>
    </row>
    <row r="479" spans="1:8" x14ac:dyDescent="0.25">
      <c r="A479" s="14" t="str">
        <f t="shared" ca="1" si="7"/>
        <v/>
      </c>
      <c r="D479" s="15" t="str">
        <f>IF(C479="","",VLOOKUP(C479,Tabela1[#All],2,0))</f>
        <v/>
      </c>
      <c r="F479" s="16" t="str" cm="1">
        <f t="array" ref="F479">IF(B479="","",(IF(B479="Compra de estoque","",(_xlfn.IFS(AND(B479="Venda de produtos",H479="Sul/Sudeste"),(VLOOKUP(C479,Tabela1[#All],9,0)*E479),AND(B479="Venda de produtos",H479="Nordeste"),(VLOOKUP(C479,Tabela1[#All],11,0)*E479),AND("Venda de produtos",H479="Norte/Centro-Oeste"),(VLOOKUP(C479,Tabela1[#All],13,0)*E479))))))</f>
        <v/>
      </c>
      <c r="G479" s="16" t="str">
        <f>IF(B479="Compra de estoque",VLOOKUP(C479,Tabela1[#All],4,0)*E479,"")</f>
        <v/>
      </c>
      <c r="H479" s="16"/>
    </row>
    <row r="480" spans="1:8" x14ac:dyDescent="0.25">
      <c r="A480" s="14" t="str">
        <f t="shared" ca="1" si="7"/>
        <v/>
      </c>
      <c r="D480" s="15" t="str">
        <f>IF(C480="","",VLOOKUP(C480,Tabela1[#All],2,0))</f>
        <v/>
      </c>
      <c r="F480" s="16" t="str" cm="1">
        <f t="array" ref="F480">IF(B480="","",(IF(B480="Compra de estoque","",(_xlfn.IFS(AND(B480="Venda de produtos",H480="Sul/Sudeste"),(VLOOKUP(C480,Tabela1[#All],9,0)*E480),AND(B480="Venda de produtos",H480="Nordeste"),(VLOOKUP(C480,Tabela1[#All],11,0)*E480),AND("Venda de produtos",H480="Norte/Centro-Oeste"),(VLOOKUP(C480,Tabela1[#All],13,0)*E480))))))</f>
        <v/>
      </c>
      <c r="G480" s="16" t="str">
        <f>IF(B480="Compra de estoque",VLOOKUP(C480,Tabela1[#All],4,0)*E480,"")</f>
        <v/>
      </c>
      <c r="H480" s="16"/>
    </row>
    <row r="481" spans="1:8" x14ac:dyDescent="0.25">
      <c r="A481" s="14" t="str">
        <f t="shared" ca="1" si="7"/>
        <v/>
      </c>
      <c r="D481" s="15" t="str">
        <f>IF(C481="","",VLOOKUP(C481,Tabela1[#All],2,0))</f>
        <v/>
      </c>
      <c r="F481" s="16" t="str" cm="1">
        <f t="array" ref="F481">IF(B481="","",(IF(B481="Compra de estoque","",(_xlfn.IFS(AND(B481="Venda de produtos",H481="Sul/Sudeste"),(VLOOKUP(C481,Tabela1[#All],9,0)*E481),AND(B481="Venda de produtos",H481="Nordeste"),(VLOOKUP(C481,Tabela1[#All],11,0)*E481),AND("Venda de produtos",H481="Norte/Centro-Oeste"),(VLOOKUP(C481,Tabela1[#All],13,0)*E481))))))</f>
        <v/>
      </c>
      <c r="G481" s="16" t="str">
        <f>IF(B481="Compra de estoque",VLOOKUP(C481,Tabela1[#All],4,0)*E481,"")</f>
        <v/>
      </c>
      <c r="H481" s="16"/>
    </row>
    <row r="482" spans="1:8" x14ac:dyDescent="0.25">
      <c r="A482" s="14" t="str">
        <f t="shared" ca="1" si="7"/>
        <v/>
      </c>
      <c r="D482" s="15" t="str">
        <f>IF(C482="","",VLOOKUP(C482,Tabela1[#All],2,0))</f>
        <v/>
      </c>
      <c r="F482" s="16" t="str" cm="1">
        <f t="array" ref="F482">IF(B482="","",(IF(B482="Compra de estoque","",(_xlfn.IFS(AND(B482="Venda de produtos",H482="Sul/Sudeste"),(VLOOKUP(C482,Tabela1[#All],9,0)*E482),AND(B482="Venda de produtos",H482="Nordeste"),(VLOOKUP(C482,Tabela1[#All],11,0)*E482),AND("Venda de produtos",H482="Norte/Centro-Oeste"),(VLOOKUP(C482,Tabela1[#All],13,0)*E482))))))</f>
        <v/>
      </c>
      <c r="G482" s="16" t="str">
        <f>IF(B482="Compra de estoque",VLOOKUP(C482,Tabela1[#All],4,0)*E482,"")</f>
        <v/>
      </c>
      <c r="H482" s="16"/>
    </row>
    <row r="483" spans="1:8" x14ac:dyDescent="0.25">
      <c r="A483" s="14" t="str">
        <f t="shared" ca="1" si="7"/>
        <v/>
      </c>
      <c r="D483" s="15" t="str">
        <f>IF(C483="","",VLOOKUP(C483,Tabela1[#All],2,0))</f>
        <v/>
      </c>
      <c r="F483" s="16" t="str" cm="1">
        <f t="array" ref="F483">IF(B483="","",(IF(B483="Compra de estoque","",(_xlfn.IFS(AND(B483="Venda de produtos",H483="Sul/Sudeste"),(VLOOKUP(C483,Tabela1[#All],9,0)*E483),AND(B483="Venda de produtos",H483="Nordeste"),(VLOOKUP(C483,Tabela1[#All],11,0)*E483),AND("Venda de produtos",H483="Norte/Centro-Oeste"),(VLOOKUP(C483,Tabela1[#All],13,0)*E483))))))</f>
        <v/>
      </c>
      <c r="G483" s="16" t="str">
        <f>IF(B483="Compra de estoque",VLOOKUP(C483,Tabela1[#All],4,0)*E483,"")</f>
        <v/>
      </c>
      <c r="H483" s="16"/>
    </row>
    <row r="484" spans="1:8" x14ac:dyDescent="0.25">
      <c r="A484" s="14" t="str">
        <f t="shared" ca="1" si="7"/>
        <v/>
      </c>
      <c r="D484" s="15" t="str">
        <f>IF(C484="","",VLOOKUP(C484,Tabela1[#All],2,0))</f>
        <v/>
      </c>
      <c r="F484" s="16" t="str" cm="1">
        <f t="array" ref="F484">IF(B484="","",(IF(B484="Compra de estoque","",(_xlfn.IFS(AND(B484="Venda de produtos",H484="Sul/Sudeste"),(VLOOKUP(C484,Tabela1[#All],9,0)*E484),AND(B484="Venda de produtos",H484="Nordeste"),(VLOOKUP(C484,Tabela1[#All],11,0)*E484),AND("Venda de produtos",H484="Norte/Centro-Oeste"),(VLOOKUP(C484,Tabela1[#All],13,0)*E484))))))</f>
        <v/>
      </c>
      <c r="G484" s="16" t="str">
        <f>IF(B484="Compra de estoque",VLOOKUP(C484,Tabela1[#All],4,0)*E484,"")</f>
        <v/>
      </c>
      <c r="H484" s="16"/>
    </row>
    <row r="485" spans="1:8" x14ac:dyDescent="0.25">
      <c r="A485" s="14" t="str">
        <f t="shared" ca="1" si="7"/>
        <v/>
      </c>
      <c r="D485" s="15" t="str">
        <f>IF(C485="","",VLOOKUP(C485,Tabela1[#All],2,0))</f>
        <v/>
      </c>
      <c r="F485" s="16" t="str" cm="1">
        <f t="array" ref="F485">IF(B485="","",(IF(B485="Compra de estoque","",(_xlfn.IFS(AND(B485="Venda de produtos",H485="Sul/Sudeste"),(VLOOKUP(C485,Tabela1[#All],9,0)*E485),AND(B485="Venda de produtos",H485="Nordeste"),(VLOOKUP(C485,Tabela1[#All],11,0)*E485),AND("Venda de produtos",H485="Norte/Centro-Oeste"),(VLOOKUP(C485,Tabela1[#All],13,0)*E485))))))</f>
        <v/>
      </c>
      <c r="G485" s="16" t="str">
        <f>IF(B485="Compra de estoque",VLOOKUP(C485,Tabela1[#All],4,0)*E485,"")</f>
        <v/>
      </c>
      <c r="H485" s="16"/>
    </row>
    <row r="486" spans="1:8" x14ac:dyDescent="0.25">
      <c r="A486" s="14" t="str">
        <f t="shared" ca="1" si="7"/>
        <v/>
      </c>
      <c r="D486" s="15" t="str">
        <f>IF(C486="","",VLOOKUP(C486,Tabela1[#All],2,0))</f>
        <v/>
      </c>
      <c r="F486" s="16" t="str" cm="1">
        <f t="array" ref="F486">IF(B486="","",(IF(B486="Compra de estoque","",(_xlfn.IFS(AND(B486="Venda de produtos",H486="Sul/Sudeste"),(VLOOKUP(C486,Tabela1[#All],9,0)*E486),AND(B486="Venda de produtos",H486="Nordeste"),(VLOOKUP(C486,Tabela1[#All],11,0)*E486),AND("Venda de produtos",H486="Norte/Centro-Oeste"),(VLOOKUP(C486,Tabela1[#All],13,0)*E486))))))</f>
        <v/>
      </c>
      <c r="G486" s="16" t="str">
        <f>IF(B486="Compra de estoque",VLOOKUP(C486,Tabela1[#All],4,0)*E486,"")</f>
        <v/>
      </c>
      <c r="H486" s="16"/>
    </row>
    <row r="487" spans="1:8" x14ac:dyDescent="0.25">
      <c r="A487" s="14" t="str">
        <f t="shared" ca="1" si="7"/>
        <v/>
      </c>
      <c r="D487" s="15" t="str">
        <f>IF(C487="","",VLOOKUP(C487,Tabela1[#All],2,0))</f>
        <v/>
      </c>
      <c r="F487" s="16" t="str" cm="1">
        <f t="array" ref="F487">IF(B487="","",(IF(B487="Compra de estoque","",(_xlfn.IFS(AND(B487="Venda de produtos",H487="Sul/Sudeste"),(VLOOKUP(C487,Tabela1[#All],9,0)*E487),AND(B487="Venda de produtos",H487="Nordeste"),(VLOOKUP(C487,Tabela1[#All],11,0)*E487),AND("Venda de produtos",H487="Norte/Centro-Oeste"),(VLOOKUP(C487,Tabela1[#All],13,0)*E487))))))</f>
        <v/>
      </c>
      <c r="G487" s="16" t="str">
        <f>IF(B487="Compra de estoque",VLOOKUP(C487,Tabela1[#All],4,0)*E487,"")</f>
        <v/>
      </c>
      <c r="H487" s="16"/>
    </row>
    <row r="488" spans="1:8" x14ac:dyDescent="0.25">
      <c r="A488" s="14" t="str">
        <f t="shared" ca="1" si="7"/>
        <v/>
      </c>
      <c r="D488" s="15" t="str">
        <f>IF(C488="","",VLOOKUP(C488,Tabela1[#All],2,0))</f>
        <v/>
      </c>
      <c r="F488" s="16" t="str" cm="1">
        <f t="array" ref="F488">IF(B488="","",(IF(B488="Compra de estoque","",(_xlfn.IFS(AND(B488="Venda de produtos",H488="Sul/Sudeste"),(VLOOKUP(C488,Tabela1[#All],9,0)*E488),AND(B488="Venda de produtos",H488="Nordeste"),(VLOOKUP(C488,Tabela1[#All],11,0)*E488),AND("Venda de produtos",H488="Norte/Centro-Oeste"),(VLOOKUP(C488,Tabela1[#All],13,0)*E488))))))</f>
        <v/>
      </c>
      <c r="G488" s="16" t="str">
        <f>IF(B488="Compra de estoque",VLOOKUP(C488,Tabela1[#All],4,0)*E488,"")</f>
        <v/>
      </c>
      <c r="H488" s="16"/>
    </row>
    <row r="489" spans="1:8" x14ac:dyDescent="0.25">
      <c r="A489" s="14" t="str">
        <f t="shared" ca="1" si="7"/>
        <v/>
      </c>
      <c r="D489" s="15" t="str">
        <f>IF(C489="","",VLOOKUP(C489,Tabela1[#All],2,0))</f>
        <v/>
      </c>
      <c r="F489" s="16" t="str" cm="1">
        <f t="array" ref="F489">IF(B489="","",(IF(B489="Compra de estoque","",(_xlfn.IFS(AND(B489="Venda de produtos",H489="Sul/Sudeste"),(VLOOKUP(C489,Tabela1[#All],9,0)*E489),AND(B489="Venda de produtos",H489="Nordeste"),(VLOOKUP(C489,Tabela1[#All],11,0)*E489),AND("Venda de produtos",H489="Norte/Centro-Oeste"),(VLOOKUP(C489,Tabela1[#All],13,0)*E489))))))</f>
        <v/>
      </c>
      <c r="G489" s="16" t="str">
        <f>IF(B489="Compra de estoque",VLOOKUP(C489,Tabela1[#All],4,0)*E489,"")</f>
        <v/>
      </c>
      <c r="H489" s="16"/>
    </row>
    <row r="490" spans="1:8" x14ac:dyDescent="0.25">
      <c r="A490" s="14" t="str">
        <f t="shared" ca="1" si="7"/>
        <v/>
      </c>
      <c r="D490" s="15" t="str">
        <f>IF(C490="","",VLOOKUP(C490,Tabela1[#All],2,0))</f>
        <v/>
      </c>
      <c r="F490" s="16" t="str" cm="1">
        <f t="array" ref="F490">IF(B490="","",(IF(B490="Compra de estoque","",(_xlfn.IFS(AND(B490="Venda de produtos",H490="Sul/Sudeste"),(VLOOKUP(C490,Tabela1[#All],9,0)*E490),AND(B490="Venda de produtos",H490="Nordeste"),(VLOOKUP(C490,Tabela1[#All],11,0)*E490),AND("Venda de produtos",H490="Norte/Centro-Oeste"),(VLOOKUP(C490,Tabela1[#All],13,0)*E490))))))</f>
        <v/>
      </c>
      <c r="G490" s="16" t="str">
        <f>IF(B490="Compra de estoque",VLOOKUP(C490,Tabela1[#All],4,0)*E490,"")</f>
        <v/>
      </c>
      <c r="H490" s="16"/>
    </row>
    <row r="491" spans="1:8" x14ac:dyDescent="0.25">
      <c r="A491" s="14" t="str">
        <f t="shared" ca="1" si="7"/>
        <v/>
      </c>
      <c r="D491" s="15" t="str">
        <f>IF(C491="","",VLOOKUP(C491,Tabela1[#All],2,0))</f>
        <v/>
      </c>
      <c r="F491" s="16" t="str" cm="1">
        <f t="array" ref="F491">IF(B491="","",(IF(B491="Compra de estoque","",(_xlfn.IFS(AND(B491="Venda de produtos",H491="Sul/Sudeste"),(VLOOKUP(C491,Tabela1[#All],9,0)*E491),AND(B491="Venda de produtos",H491="Nordeste"),(VLOOKUP(C491,Tabela1[#All],11,0)*E491),AND("Venda de produtos",H491="Norte/Centro-Oeste"),(VLOOKUP(C491,Tabela1[#All],13,0)*E491))))))</f>
        <v/>
      </c>
      <c r="G491" s="16" t="str">
        <f>IF(B491="Compra de estoque",VLOOKUP(C491,Tabela1[#All],4,0)*E491,"")</f>
        <v/>
      </c>
      <c r="H491" s="16"/>
    </row>
    <row r="492" spans="1:8" x14ac:dyDescent="0.25">
      <c r="A492" s="14" t="str">
        <f t="shared" ca="1" si="7"/>
        <v/>
      </c>
      <c r="D492" s="15" t="str">
        <f>IF(C492="","",VLOOKUP(C492,Tabela1[#All],2,0))</f>
        <v/>
      </c>
      <c r="F492" s="16" t="str" cm="1">
        <f t="array" ref="F492">IF(B492="","",(IF(B492="Compra de estoque","",(_xlfn.IFS(AND(B492="Venda de produtos",H492="Sul/Sudeste"),(VLOOKUP(C492,Tabela1[#All],9,0)*E492),AND(B492="Venda de produtos",H492="Nordeste"),(VLOOKUP(C492,Tabela1[#All],11,0)*E492),AND("Venda de produtos",H492="Norte/Centro-Oeste"),(VLOOKUP(C492,Tabela1[#All],13,0)*E492))))))</f>
        <v/>
      </c>
      <c r="G492" s="16" t="str">
        <f>IF(B492="Compra de estoque",VLOOKUP(C492,Tabela1[#All],4,0)*E492,"")</f>
        <v/>
      </c>
      <c r="H492" s="16"/>
    </row>
    <row r="493" spans="1:8" x14ac:dyDescent="0.25">
      <c r="A493" s="14" t="str">
        <f t="shared" ca="1" si="7"/>
        <v/>
      </c>
      <c r="D493" s="15" t="str">
        <f>IF(C493="","",VLOOKUP(C493,Tabela1[#All],2,0))</f>
        <v/>
      </c>
      <c r="F493" s="16" t="str" cm="1">
        <f t="array" ref="F493">IF(B493="","",(IF(B493="Compra de estoque","",(_xlfn.IFS(AND(B493="Venda de produtos",H493="Sul/Sudeste"),(VLOOKUP(C493,Tabela1[#All],9,0)*E493),AND(B493="Venda de produtos",H493="Nordeste"),(VLOOKUP(C493,Tabela1[#All],11,0)*E493),AND("Venda de produtos",H493="Norte/Centro-Oeste"),(VLOOKUP(C493,Tabela1[#All],13,0)*E493))))))</f>
        <v/>
      </c>
      <c r="G493" s="16" t="str">
        <f>IF(B493="Compra de estoque",VLOOKUP(C493,Tabela1[#All],4,0)*E493,"")</f>
        <v/>
      </c>
      <c r="H493" s="16"/>
    </row>
    <row r="494" spans="1:8" x14ac:dyDescent="0.25">
      <c r="A494" s="14" t="str">
        <f t="shared" ca="1" si="7"/>
        <v/>
      </c>
      <c r="D494" s="15" t="str">
        <f>IF(C494="","",VLOOKUP(C494,Tabela1[#All],2,0))</f>
        <v/>
      </c>
      <c r="F494" s="16" t="str" cm="1">
        <f t="array" ref="F494">IF(B494="","",(IF(B494="Compra de estoque","",(_xlfn.IFS(AND(B494="Venda de produtos",H494="Sul/Sudeste"),(VLOOKUP(C494,Tabela1[#All],9,0)*E494),AND(B494="Venda de produtos",H494="Nordeste"),(VLOOKUP(C494,Tabela1[#All],11,0)*E494),AND("Venda de produtos",H494="Norte/Centro-Oeste"),(VLOOKUP(C494,Tabela1[#All],13,0)*E494))))))</f>
        <v/>
      </c>
      <c r="G494" s="16" t="str">
        <f>IF(B494="Compra de estoque",VLOOKUP(C494,Tabela1[#All],4,0)*E494,"")</f>
        <v/>
      </c>
      <c r="H494" s="16"/>
    </row>
    <row r="495" spans="1:8" x14ac:dyDescent="0.25">
      <c r="A495" s="14" t="str">
        <f t="shared" ca="1" si="7"/>
        <v/>
      </c>
      <c r="D495" s="15" t="str">
        <f>IF(C495="","",VLOOKUP(C495,Tabela1[#All],2,0))</f>
        <v/>
      </c>
      <c r="F495" s="16" t="str" cm="1">
        <f t="array" ref="F495">IF(B495="","",(IF(B495="Compra de estoque","",(_xlfn.IFS(AND(B495="Venda de produtos",H495="Sul/Sudeste"),(VLOOKUP(C495,Tabela1[#All],9,0)*E495),AND(B495="Venda de produtos",H495="Nordeste"),(VLOOKUP(C495,Tabela1[#All],11,0)*E495),AND("Venda de produtos",H495="Norte/Centro-Oeste"),(VLOOKUP(C495,Tabela1[#All],13,0)*E495))))))</f>
        <v/>
      </c>
      <c r="G495" s="16" t="str">
        <f>IF(B495="Compra de estoque",VLOOKUP(C495,Tabela1[#All],4,0)*E495,"")</f>
        <v/>
      </c>
      <c r="H495" s="16"/>
    </row>
    <row r="496" spans="1:8" x14ac:dyDescent="0.25">
      <c r="A496" s="14" t="str">
        <f t="shared" ca="1" si="7"/>
        <v/>
      </c>
      <c r="D496" s="15" t="str">
        <f>IF(C496="","",VLOOKUP(C496,Tabela1[#All],2,0))</f>
        <v/>
      </c>
      <c r="F496" s="16" t="str" cm="1">
        <f t="array" ref="F496">IF(B496="","",(IF(B496="Compra de estoque","",(_xlfn.IFS(AND(B496="Venda de produtos",H496="Sul/Sudeste"),(VLOOKUP(C496,Tabela1[#All],9,0)*E496),AND(B496="Venda de produtos",H496="Nordeste"),(VLOOKUP(C496,Tabela1[#All],11,0)*E496),AND("Venda de produtos",H496="Norte/Centro-Oeste"),(VLOOKUP(C496,Tabela1[#All],13,0)*E496))))))</f>
        <v/>
      </c>
      <c r="G496" s="16" t="str">
        <f>IF(B496="Compra de estoque",VLOOKUP(C496,Tabela1[#All],4,0)*E496,"")</f>
        <v/>
      </c>
      <c r="H496" s="16"/>
    </row>
    <row r="497" spans="1:8" x14ac:dyDescent="0.25">
      <c r="A497" s="14" t="str">
        <f t="shared" ca="1" si="7"/>
        <v/>
      </c>
      <c r="D497" s="15" t="str">
        <f>IF(C497="","",VLOOKUP(C497,Tabela1[#All],2,0))</f>
        <v/>
      </c>
      <c r="F497" s="16" t="str" cm="1">
        <f t="array" ref="F497">IF(B497="","",(IF(B497="Compra de estoque","",(_xlfn.IFS(AND(B497="Venda de produtos",H497="Sul/Sudeste"),(VLOOKUP(C497,Tabela1[#All],9,0)*E497),AND(B497="Venda de produtos",H497="Nordeste"),(VLOOKUP(C497,Tabela1[#All],11,0)*E497),AND("Venda de produtos",H497="Norte/Centro-Oeste"),(VLOOKUP(C497,Tabela1[#All],13,0)*E497))))))</f>
        <v/>
      </c>
      <c r="G497" s="16" t="str">
        <f>IF(B497="Compra de estoque",VLOOKUP(C497,Tabela1[#All],4,0)*E497,"")</f>
        <v/>
      </c>
      <c r="H497" s="16"/>
    </row>
    <row r="498" spans="1:8" x14ac:dyDescent="0.25">
      <c r="A498" s="14" t="str">
        <f t="shared" ca="1" si="7"/>
        <v/>
      </c>
      <c r="D498" s="15" t="str">
        <f>IF(C498="","",VLOOKUP(C498,Tabela1[#All],2,0))</f>
        <v/>
      </c>
      <c r="F498" s="16" t="str" cm="1">
        <f t="array" ref="F498">IF(B498="","",(IF(B498="Compra de estoque","",(_xlfn.IFS(AND(B498="Venda de produtos",H498="Sul/Sudeste"),(VLOOKUP(C498,Tabela1[#All],9,0)*E498),AND(B498="Venda de produtos",H498="Nordeste"),(VLOOKUP(C498,Tabela1[#All],11,0)*E498),AND("Venda de produtos",H498="Norte/Centro-Oeste"),(VLOOKUP(C498,Tabela1[#All],13,0)*E498))))))</f>
        <v/>
      </c>
      <c r="G498" s="16" t="str">
        <f>IF(B498="Compra de estoque",VLOOKUP(C498,Tabela1[#All],4,0)*E498,"")</f>
        <v/>
      </c>
      <c r="H498" s="16"/>
    </row>
    <row r="499" spans="1:8" x14ac:dyDescent="0.25">
      <c r="A499" s="14" t="str">
        <f t="shared" ca="1" si="7"/>
        <v/>
      </c>
      <c r="D499" s="15" t="str">
        <f>IF(C499="","",VLOOKUP(C499,Tabela1[#All],2,0))</f>
        <v/>
      </c>
      <c r="F499" s="16" t="str" cm="1">
        <f t="array" ref="F499">IF(B499="","",(IF(B499="Compra de estoque","",(_xlfn.IFS(AND(B499="Venda de produtos",H499="Sul/Sudeste"),(VLOOKUP(C499,Tabela1[#All],9,0)*E499),AND(B499="Venda de produtos",H499="Nordeste"),(VLOOKUP(C499,Tabela1[#All],11,0)*E499),AND("Venda de produtos",H499="Norte/Centro-Oeste"),(VLOOKUP(C499,Tabela1[#All],13,0)*E499))))))</f>
        <v/>
      </c>
      <c r="G499" s="16" t="str">
        <f>IF(B499="Compra de estoque",VLOOKUP(C499,Tabela1[#All],4,0)*E499,"")</f>
        <v/>
      </c>
      <c r="H499" s="16"/>
    </row>
    <row r="500" spans="1:8" x14ac:dyDescent="0.25">
      <c r="A500" s="14" t="str">
        <f t="shared" ca="1" si="7"/>
        <v/>
      </c>
      <c r="D500" s="15" t="str">
        <f>IF(C500="","",VLOOKUP(C500,Tabela1[#All],2,0))</f>
        <v/>
      </c>
      <c r="F500" s="16" t="str" cm="1">
        <f t="array" ref="F500">IF(B500="","",(IF(B500="Compra de estoque","",(_xlfn.IFS(AND(B500="Venda de produtos",H500="Sul/Sudeste"),(VLOOKUP(C500,Tabela1[#All],9,0)*E500),AND(B500="Venda de produtos",H500="Nordeste"),(VLOOKUP(C500,Tabela1[#All],11,0)*E500),AND("Venda de produtos",H500="Norte/Centro-Oeste"),(VLOOKUP(C500,Tabela1[#All],13,0)*E500))))))</f>
        <v/>
      </c>
      <c r="G500" s="16" t="str">
        <f>IF(B500="Compra de estoque",VLOOKUP(C500,Tabela1[#All],4,0)*E500,"")</f>
        <v/>
      </c>
      <c r="H500" s="16"/>
    </row>
    <row r="501" spans="1:8" x14ac:dyDescent="0.25">
      <c r="A501" s="14" t="str">
        <f t="shared" ca="1" si="7"/>
        <v/>
      </c>
      <c r="D501" s="15" t="str">
        <f>IF(C501="","",VLOOKUP(C501,Tabela1[#All],2,0))</f>
        <v/>
      </c>
      <c r="F501" s="16" t="str" cm="1">
        <f t="array" ref="F501">IF(B501="","",(IF(B501="Compra de estoque","",(_xlfn.IFS(AND(B501="Venda de produtos",H501="Sul/Sudeste"),(VLOOKUP(C501,Tabela1[#All],9,0)*E501),AND(B501="Venda de produtos",H501="Nordeste"),(VLOOKUP(C501,Tabela1[#All],11,0)*E501),AND("Venda de produtos",H501="Norte/Centro-Oeste"),(VLOOKUP(C501,Tabela1[#All],13,0)*E501))))))</f>
        <v/>
      </c>
      <c r="G501" s="16" t="str">
        <f>IF(B501="Compra de estoque",VLOOKUP(C501,Tabela1[#All],4,0)*E501,"")</f>
        <v/>
      </c>
      <c r="H501" s="16"/>
    </row>
    <row r="502" spans="1:8" x14ac:dyDescent="0.25">
      <c r="A502" s="14" t="str">
        <f t="shared" ca="1" si="7"/>
        <v/>
      </c>
      <c r="D502" s="15" t="str">
        <f>IF(C502="","",VLOOKUP(C502,Tabela1[#All],2,0))</f>
        <v/>
      </c>
      <c r="F502" s="16" t="str" cm="1">
        <f t="array" ref="F502">IF(B502="","",(IF(B502="Compra de estoque","",(_xlfn.IFS(AND(B502="Venda de produtos",H502="Sul/Sudeste"),(VLOOKUP(C502,Tabela1[#All],9,0)*E502),AND(B502="Venda de produtos",H502="Nordeste"),(VLOOKUP(C502,Tabela1[#All],11,0)*E502),AND("Venda de produtos",H502="Norte/Centro-Oeste"),(VLOOKUP(C502,Tabela1[#All],13,0)*E502))))))</f>
        <v/>
      </c>
      <c r="G502" s="16" t="str">
        <f>IF(B502="Compra de estoque",VLOOKUP(C502,Tabela1[#All],4,0)*E502,"")</f>
        <v/>
      </c>
      <c r="H502" s="16"/>
    </row>
    <row r="503" spans="1:8" x14ac:dyDescent="0.25">
      <c r="A503" s="14" t="str">
        <f t="shared" ca="1" si="7"/>
        <v/>
      </c>
      <c r="D503" s="15" t="str">
        <f>IF(C503="","",VLOOKUP(C503,Tabela1[#All],2,0))</f>
        <v/>
      </c>
      <c r="F503" s="16" t="str" cm="1">
        <f t="array" ref="F503">IF(B503="","",(IF(B503="Compra de estoque","",(_xlfn.IFS(AND(B503="Venda de produtos",H503="Sul/Sudeste"),(VLOOKUP(C503,Tabela1[#All],9,0)*E503),AND(B503="Venda de produtos",H503="Nordeste"),(VLOOKUP(C503,Tabela1[#All],11,0)*E503),AND("Venda de produtos",H503="Norte/Centro-Oeste"),(VLOOKUP(C503,Tabela1[#All],13,0)*E503))))))</f>
        <v/>
      </c>
      <c r="G503" s="16" t="str">
        <f>IF(B503="Compra de estoque",VLOOKUP(C503,Tabela1[#All],4,0)*E503,"")</f>
        <v/>
      </c>
      <c r="H503" s="16"/>
    </row>
    <row r="504" spans="1:8" x14ac:dyDescent="0.25">
      <c r="A504" s="14" t="str">
        <f t="shared" ca="1" si="7"/>
        <v/>
      </c>
      <c r="D504" s="15" t="str">
        <f>IF(C504="","",VLOOKUP(C504,Tabela1[#All],2,0))</f>
        <v/>
      </c>
      <c r="F504" s="16" t="str" cm="1">
        <f t="array" ref="F504">IF(B504="","",(IF(B504="Compra de estoque","",(_xlfn.IFS(AND(B504="Venda de produtos",H504="Sul/Sudeste"),(VLOOKUP(C504,Tabela1[#All],9,0)*E504),AND(B504="Venda de produtos",H504="Nordeste"),(VLOOKUP(C504,Tabela1[#All],11,0)*E504),AND("Venda de produtos",H504="Norte/Centro-Oeste"),(VLOOKUP(C504,Tabela1[#All],13,0)*E504))))))</f>
        <v/>
      </c>
      <c r="G504" s="16" t="str">
        <f>IF(B504="Compra de estoque",VLOOKUP(C504,Tabela1[#All],4,0)*E504,"")</f>
        <v/>
      </c>
      <c r="H504" s="16"/>
    </row>
    <row r="505" spans="1:8" x14ac:dyDescent="0.25">
      <c r="A505" s="14" t="str">
        <f t="shared" ca="1" si="7"/>
        <v/>
      </c>
      <c r="D505" s="15" t="str">
        <f>IF(C505="","",VLOOKUP(C505,Tabela1[#All],2,0))</f>
        <v/>
      </c>
      <c r="F505" s="16" t="str" cm="1">
        <f t="array" ref="F505">IF(B505="","",(IF(B505="Compra de estoque","",(_xlfn.IFS(AND(B505="Venda de produtos",H505="Sul/Sudeste"),(VLOOKUP(C505,Tabela1[#All],9,0)*E505),AND(B505="Venda de produtos",H505="Nordeste"),(VLOOKUP(C505,Tabela1[#All],11,0)*E505),AND("Venda de produtos",H505="Norte/Centro-Oeste"),(VLOOKUP(C505,Tabela1[#All],13,0)*E505))))))</f>
        <v/>
      </c>
      <c r="G505" s="16" t="str">
        <f>IF(B505="Compra de estoque",VLOOKUP(C505,Tabela1[#All],4,0)*E505,"")</f>
        <v/>
      </c>
      <c r="H505" s="16"/>
    </row>
    <row r="506" spans="1:8" x14ac:dyDescent="0.25">
      <c r="A506" s="14" t="str">
        <f t="shared" ca="1" si="7"/>
        <v/>
      </c>
      <c r="D506" s="15" t="str">
        <f>IF(C506="","",VLOOKUP(C506,Tabela1[#All],2,0))</f>
        <v/>
      </c>
      <c r="F506" s="16" t="str" cm="1">
        <f t="array" ref="F506">IF(B506="","",(IF(B506="Compra de estoque","",(_xlfn.IFS(AND(B506="Venda de produtos",H506="Sul/Sudeste"),(VLOOKUP(C506,Tabela1[#All],9,0)*E506),AND(B506="Venda de produtos",H506="Nordeste"),(VLOOKUP(C506,Tabela1[#All],11,0)*E506),AND("Venda de produtos",H506="Norte/Centro-Oeste"),(VLOOKUP(C506,Tabela1[#All],13,0)*E506))))))</f>
        <v/>
      </c>
      <c r="G506" s="16" t="str">
        <f>IF(B506="Compra de estoque",VLOOKUP(C506,Tabela1[#All],4,0)*E506,"")</f>
        <v/>
      </c>
      <c r="H506" s="16"/>
    </row>
    <row r="507" spans="1:8" x14ac:dyDescent="0.25">
      <c r="A507" s="14" t="str">
        <f t="shared" ca="1" si="7"/>
        <v/>
      </c>
      <c r="D507" s="15" t="str">
        <f>IF(C507="","",VLOOKUP(C507,Tabela1[#All],2,0))</f>
        <v/>
      </c>
      <c r="F507" s="16" t="str" cm="1">
        <f t="array" ref="F507">IF(B507="","",(IF(B507="Compra de estoque","",(_xlfn.IFS(AND(B507="Venda de produtos",H507="Sul/Sudeste"),(VLOOKUP(C507,Tabela1[#All],9,0)*E507),AND(B507="Venda de produtos",H507="Nordeste"),(VLOOKUP(C507,Tabela1[#All],11,0)*E507),AND("Venda de produtos",H507="Norte/Centro-Oeste"),(VLOOKUP(C507,Tabela1[#All],13,0)*E507))))))</f>
        <v/>
      </c>
      <c r="G507" s="16" t="str">
        <f>IF(B507="Compra de estoque",VLOOKUP(C507,Tabela1[#All],4,0)*E507,"")</f>
        <v/>
      </c>
      <c r="H507" s="16"/>
    </row>
    <row r="508" spans="1:8" x14ac:dyDescent="0.25">
      <c r="A508" s="14" t="str">
        <f t="shared" ca="1" si="7"/>
        <v/>
      </c>
      <c r="D508" s="15" t="str">
        <f>IF(C508="","",VLOOKUP(C508,Tabela1[#All],2,0))</f>
        <v/>
      </c>
      <c r="F508" s="16" t="str" cm="1">
        <f t="array" ref="F508">IF(B508="","",(IF(B508="Compra de estoque","",(_xlfn.IFS(AND(B508="Venda de produtos",H508="Sul/Sudeste"),(VLOOKUP(C508,Tabela1[#All],9,0)*E508),AND(B508="Venda de produtos",H508="Nordeste"),(VLOOKUP(C508,Tabela1[#All],11,0)*E508),AND("Venda de produtos",H508="Norte/Centro-Oeste"),(VLOOKUP(C508,Tabela1[#All],13,0)*E508))))))</f>
        <v/>
      </c>
      <c r="G508" s="16" t="str">
        <f>IF(B508="Compra de estoque",VLOOKUP(C508,Tabela1[#All],4,0)*E508,"")</f>
        <v/>
      </c>
      <c r="H508" s="16"/>
    </row>
    <row r="509" spans="1:8" x14ac:dyDescent="0.25">
      <c r="A509" s="14" t="str">
        <f t="shared" ca="1" si="7"/>
        <v/>
      </c>
      <c r="D509" s="15" t="str">
        <f>IF(C509="","",VLOOKUP(C509,Tabela1[#All],2,0))</f>
        <v/>
      </c>
      <c r="F509" s="16" t="str" cm="1">
        <f t="array" ref="F509">IF(B509="","",(IF(B509="Compra de estoque","",(_xlfn.IFS(AND(B509="Venda de produtos",H509="Sul/Sudeste"),(VLOOKUP(C509,Tabela1[#All],9,0)*E509),AND(B509="Venda de produtos",H509="Nordeste"),(VLOOKUP(C509,Tabela1[#All],11,0)*E509),AND("Venda de produtos",H509="Norte/Centro-Oeste"),(VLOOKUP(C509,Tabela1[#All],13,0)*E509))))))</f>
        <v/>
      </c>
      <c r="G509" s="16" t="str">
        <f>IF(B509="Compra de estoque",VLOOKUP(C509,Tabela1[#All],4,0)*E509,"")</f>
        <v/>
      </c>
      <c r="H509" s="16"/>
    </row>
    <row r="510" spans="1:8" x14ac:dyDescent="0.25">
      <c r="A510" s="14" t="str">
        <f t="shared" ca="1" si="7"/>
        <v/>
      </c>
      <c r="D510" s="15" t="str">
        <f>IF(C510="","",VLOOKUP(C510,Tabela1[#All],2,0))</f>
        <v/>
      </c>
      <c r="F510" s="16" t="str" cm="1">
        <f t="array" ref="F510">IF(B510="","",(IF(B510="Compra de estoque","",(_xlfn.IFS(AND(B510="Venda de produtos",H510="Sul/Sudeste"),(VLOOKUP(C510,Tabela1[#All],9,0)*E510),AND(B510="Venda de produtos",H510="Nordeste"),(VLOOKUP(C510,Tabela1[#All],11,0)*E510),AND("Venda de produtos",H510="Norte/Centro-Oeste"),(VLOOKUP(C510,Tabela1[#All],13,0)*E510))))))</f>
        <v/>
      </c>
      <c r="G510" s="16" t="str">
        <f>IF(B510="Compra de estoque",VLOOKUP(C510,Tabela1[#All],4,0)*E510,"")</f>
        <v/>
      </c>
      <c r="H510" s="16"/>
    </row>
    <row r="511" spans="1:8" x14ac:dyDescent="0.25">
      <c r="A511" s="14" t="str">
        <f t="shared" ca="1" si="7"/>
        <v/>
      </c>
      <c r="D511" s="15" t="str">
        <f>IF(C511="","",VLOOKUP(C511,Tabela1[#All],2,0))</f>
        <v/>
      </c>
      <c r="F511" s="16" t="str" cm="1">
        <f t="array" ref="F511">IF(B511="","",(IF(B511="Compra de estoque","",(_xlfn.IFS(AND(B511="Venda de produtos",H511="Sul/Sudeste"),(VLOOKUP(C511,Tabela1[#All],9,0)*E511),AND(B511="Venda de produtos",H511="Nordeste"),(VLOOKUP(C511,Tabela1[#All],11,0)*E511),AND("Venda de produtos",H511="Norte/Centro-Oeste"),(VLOOKUP(C511,Tabela1[#All],13,0)*E511))))))</f>
        <v/>
      </c>
      <c r="G511" s="16" t="str">
        <f>IF(B511="Compra de estoque",VLOOKUP(C511,Tabela1[#All],4,0)*E511,"")</f>
        <v/>
      </c>
      <c r="H511" s="16"/>
    </row>
    <row r="512" spans="1:8" x14ac:dyDescent="0.25">
      <c r="A512" s="14" t="str">
        <f t="shared" ca="1" si="7"/>
        <v/>
      </c>
      <c r="D512" s="15" t="str">
        <f>IF(C512="","",VLOOKUP(C512,Tabela1[#All],2,0))</f>
        <v/>
      </c>
      <c r="F512" s="16" t="str" cm="1">
        <f t="array" ref="F512">IF(B512="","",(IF(B512="Compra de estoque","",(_xlfn.IFS(AND(B512="Venda de produtos",H512="Sul/Sudeste"),(VLOOKUP(C512,Tabela1[#All],9,0)*E512),AND(B512="Venda de produtos",H512="Nordeste"),(VLOOKUP(C512,Tabela1[#All],11,0)*E512),AND("Venda de produtos",H512="Norte/Centro-Oeste"),(VLOOKUP(C512,Tabela1[#All],13,0)*E512))))))</f>
        <v/>
      </c>
      <c r="G512" s="16" t="str">
        <f>IF(B512="Compra de estoque",VLOOKUP(C512,Tabela1[#All],4,0)*E512,"")</f>
        <v/>
      </c>
      <c r="H512" s="16"/>
    </row>
    <row r="513" spans="1:8" x14ac:dyDescent="0.25">
      <c r="A513" s="14" t="str">
        <f t="shared" ca="1" si="7"/>
        <v/>
      </c>
      <c r="D513" s="15" t="str">
        <f>IF(C513="","",VLOOKUP(C513,Tabela1[#All],2,0))</f>
        <v/>
      </c>
      <c r="F513" s="16" t="str" cm="1">
        <f t="array" ref="F513">IF(B513="","",(IF(B513="Compra de estoque","",(_xlfn.IFS(AND(B513="Venda de produtos",H513="Sul/Sudeste"),(VLOOKUP(C513,Tabela1[#All],9,0)*E513),AND(B513="Venda de produtos",H513="Nordeste"),(VLOOKUP(C513,Tabela1[#All],11,0)*E513),AND("Venda de produtos",H513="Norte/Centro-Oeste"),(VLOOKUP(C513,Tabela1[#All],13,0)*E513))))))</f>
        <v/>
      </c>
      <c r="G513" s="16" t="str">
        <f>IF(B513="Compra de estoque",VLOOKUP(C513,Tabela1[#All],4,0)*E513,"")</f>
        <v/>
      </c>
      <c r="H513" s="16"/>
    </row>
    <row r="514" spans="1:8" x14ac:dyDescent="0.25">
      <c r="A514" s="14" t="str">
        <f t="shared" ca="1" si="7"/>
        <v/>
      </c>
      <c r="D514" s="15" t="str">
        <f>IF(C514="","",VLOOKUP(C514,Tabela1[#All],2,0))</f>
        <v/>
      </c>
      <c r="F514" s="16" t="str" cm="1">
        <f t="array" ref="F514">IF(B514="","",(IF(B514="Compra de estoque","",(_xlfn.IFS(AND(B514="Venda de produtos",H514="Sul/Sudeste"),(VLOOKUP(C514,Tabela1[#All],9,0)*E514),AND(B514="Venda de produtos",H514="Nordeste"),(VLOOKUP(C514,Tabela1[#All],11,0)*E514),AND("Venda de produtos",H514="Norte/Centro-Oeste"),(VLOOKUP(C514,Tabela1[#All],13,0)*E514))))))</f>
        <v/>
      </c>
      <c r="G514" s="16" t="str">
        <f>IF(B514="Compra de estoque",VLOOKUP(C514,Tabela1[#All],4,0)*E514,"")</f>
        <v/>
      </c>
      <c r="H514" s="16"/>
    </row>
    <row r="515" spans="1:8" x14ac:dyDescent="0.25">
      <c r="A515" s="14" t="str">
        <f t="shared" ref="A515:A578" ca="1" si="8">IF(C515="","",NOW())</f>
        <v/>
      </c>
      <c r="D515" s="15" t="str">
        <f>IF(C515="","",VLOOKUP(C515,Tabela1[#All],2,0))</f>
        <v/>
      </c>
      <c r="F515" s="16" t="str" cm="1">
        <f t="array" ref="F515">IF(B515="","",(IF(B515="Compra de estoque","",(_xlfn.IFS(AND(B515="Venda de produtos",H515="Sul/Sudeste"),(VLOOKUP(C515,Tabela1[#All],9,0)*E515),AND(B515="Venda de produtos",H515="Nordeste"),(VLOOKUP(C515,Tabela1[#All],11,0)*E515),AND("Venda de produtos",H515="Norte/Centro-Oeste"),(VLOOKUP(C515,Tabela1[#All],13,0)*E515))))))</f>
        <v/>
      </c>
      <c r="G515" s="16" t="str">
        <f>IF(B515="Compra de estoque",VLOOKUP(C515,Tabela1[#All],4,0)*E515,"")</f>
        <v/>
      </c>
      <c r="H515" s="16"/>
    </row>
    <row r="516" spans="1:8" x14ac:dyDescent="0.25">
      <c r="A516" s="14" t="str">
        <f t="shared" ca="1" si="8"/>
        <v/>
      </c>
      <c r="D516" s="15" t="str">
        <f>IF(C516="","",VLOOKUP(C516,Tabela1[#All],2,0))</f>
        <v/>
      </c>
      <c r="F516" s="16" t="str" cm="1">
        <f t="array" ref="F516">IF(B516="","",(IF(B516="Compra de estoque","",(_xlfn.IFS(AND(B516="Venda de produtos",H516="Sul/Sudeste"),(VLOOKUP(C516,Tabela1[#All],9,0)*E516),AND(B516="Venda de produtos",H516="Nordeste"),(VLOOKUP(C516,Tabela1[#All],11,0)*E516),AND("Venda de produtos",H516="Norte/Centro-Oeste"),(VLOOKUP(C516,Tabela1[#All],13,0)*E516))))))</f>
        <v/>
      </c>
      <c r="G516" s="16" t="str">
        <f>IF(B516="Compra de estoque",VLOOKUP(C516,Tabela1[#All],4,0)*E516,"")</f>
        <v/>
      </c>
      <c r="H516" s="16"/>
    </row>
    <row r="517" spans="1:8" x14ac:dyDescent="0.25">
      <c r="A517" s="14" t="str">
        <f t="shared" ca="1" si="8"/>
        <v/>
      </c>
      <c r="D517" s="15" t="str">
        <f>IF(C517="","",VLOOKUP(C517,Tabela1[#All],2,0))</f>
        <v/>
      </c>
      <c r="F517" s="16" t="str" cm="1">
        <f t="array" ref="F517">IF(B517="","",(IF(B517="Compra de estoque","",(_xlfn.IFS(AND(B517="Venda de produtos",H517="Sul/Sudeste"),(VLOOKUP(C517,Tabela1[#All],9,0)*E517),AND(B517="Venda de produtos",H517="Nordeste"),(VLOOKUP(C517,Tabela1[#All],11,0)*E517),AND("Venda de produtos",H517="Norte/Centro-Oeste"),(VLOOKUP(C517,Tabela1[#All],13,0)*E517))))))</f>
        <v/>
      </c>
      <c r="G517" s="16" t="str">
        <f>IF(B517="Compra de estoque",VLOOKUP(C517,Tabela1[#All],4,0)*E517,"")</f>
        <v/>
      </c>
      <c r="H517" s="16"/>
    </row>
    <row r="518" spans="1:8" x14ac:dyDescent="0.25">
      <c r="A518" s="14" t="str">
        <f t="shared" ca="1" si="8"/>
        <v/>
      </c>
      <c r="D518" s="15" t="str">
        <f>IF(C518="","",VLOOKUP(C518,Tabela1[#All],2,0))</f>
        <v/>
      </c>
      <c r="F518" s="16" t="str" cm="1">
        <f t="array" ref="F518">IF(B518="","",(IF(B518="Compra de estoque","",(_xlfn.IFS(AND(B518="Venda de produtos",H518="Sul/Sudeste"),(VLOOKUP(C518,Tabela1[#All],9,0)*E518),AND(B518="Venda de produtos",H518="Nordeste"),(VLOOKUP(C518,Tabela1[#All],11,0)*E518),AND("Venda de produtos",H518="Norte/Centro-Oeste"),(VLOOKUP(C518,Tabela1[#All],13,0)*E518))))))</f>
        <v/>
      </c>
      <c r="G518" s="16" t="str">
        <f>IF(B518="Compra de estoque",VLOOKUP(C518,Tabela1[#All],4,0)*E518,"")</f>
        <v/>
      </c>
      <c r="H518" s="16"/>
    </row>
    <row r="519" spans="1:8" x14ac:dyDescent="0.25">
      <c r="A519" s="14" t="str">
        <f t="shared" ca="1" si="8"/>
        <v/>
      </c>
      <c r="D519" s="15" t="str">
        <f>IF(C519="","",VLOOKUP(C519,Tabela1[#All],2,0))</f>
        <v/>
      </c>
      <c r="F519" s="16" t="str" cm="1">
        <f t="array" ref="F519">IF(B519="","",(IF(B519="Compra de estoque","",(_xlfn.IFS(AND(B519="Venda de produtos",H519="Sul/Sudeste"),(VLOOKUP(C519,Tabela1[#All],9,0)*E519),AND(B519="Venda de produtos",H519="Nordeste"),(VLOOKUP(C519,Tabela1[#All],11,0)*E519),AND("Venda de produtos",H519="Norte/Centro-Oeste"),(VLOOKUP(C519,Tabela1[#All],13,0)*E519))))))</f>
        <v/>
      </c>
      <c r="G519" s="16" t="str">
        <f>IF(B519="Compra de estoque",VLOOKUP(C519,Tabela1[#All],4,0)*E519,"")</f>
        <v/>
      </c>
      <c r="H519" s="16"/>
    </row>
    <row r="520" spans="1:8" x14ac:dyDescent="0.25">
      <c r="A520" s="14" t="str">
        <f t="shared" ca="1" si="8"/>
        <v/>
      </c>
      <c r="D520" s="15" t="str">
        <f>IF(C520="","",VLOOKUP(C520,Tabela1[#All],2,0))</f>
        <v/>
      </c>
      <c r="F520" s="16" t="str" cm="1">
        <f t="array" ref="F520">IF(B520="","",(IF(B520="Compra de estoque","",(_xlfn.IFS(AND(B520="Venda de produtos",H520="Sul/Sudeste"),(VLOOKUP(C520,Tabela1[#All],9,0)*E520),AND(B520="Venda de produtos",H520="Nordeste"),(VLOOKUP(C520,Tabela1[#All],11,0)*E520),AND("Venda de produtos",H520="Norte/Centro-Oeste"),(VLOOKUP(C520,Tabela1[#All],13,0)*E520))))))</f>
        <v/>
      </c>
      <c r="G520" s="16" t="str">
        <f>IF(B520="Compra de estoque",VLOOKUP(C520,Tabela1[#All],4,0)*E520,"")</f>
        <v/>
      </c>
      <c r="H520" s="16"/>
    </row>
    <row r="521" spans="1:8" x14ac:dyDescent="0.25">
      <c r="A521" s="14" t="str">
        <f t="shared" ca="1" si="8"/>
        <v/>
      </c>
      <c r="D521" s="15" t="str">
        <f>IF(C521="","",VLOOKUP(C521,Tabela1[#All],2,0))</f>
        <v/>
      </c>
      <c r="F521" s="16" t="str" cm="1">
        <f t="array" ref="F521">IF(B521="","",(IF(B521="Compra de estoque","",(_xlfn.IFS(AND(B521="Venda de produtos",H521="Sul/Sudeste"),(VLOOKUP(C521,Tabela1[#All],9,0)*E521),AND(B521="Venda de produtos",H521="Nordeste"),(VLOOKUP(C521,Tabela1[#All],11,0)*E521),AND("Venda de produtos",H521="Norte/Centro-Oeste"),(VLOOKUP(C521,Tabela1[#All],13,0)*E521))))))</f>
        <v/>
      </c>
      <c r="G521" s="16" t="str">
        <f>IF(B521="Compra de estoque",VLOOKUP(C521,Tabela1[#All],4,0)*E521,"")</f>
        <v/>
      </c>
      <c r="H521" s="16"/>
    </row>
    <row r="522" spans="1:8" x14ac:dyDescent="0.25">
      <c r="A522" s="14" t="str">
        <f t="shared" ca="1" si="8"/>
        <v/>
      </c>
      <c r="D522" s="15" t="str">
        <f>IF(C522="","",VLOOKUP(C522,Tabela1[#All],2,0))</f>
        <v/>
      </c>
      <c r="F522" s="16" t="str" cm="1">
        <f t="array" ref="F522">IF(B522="","",(IF(B522="Compra de estoque","",(_xlfn.IFS(AND(B522="Venda de produtos",H522="Sul/Sudeste"),(VLOOKUP(C522,Tabela1[#All],9,0)*E522),AND(B522="Venda de produtos",H522="Nordeste"),(VLOOKUP(C522,Tabela1[#All],11,0)*E522),AND("Venda de produtos",H522="Norte/Centro-Oeste"),(VLOOKUP(C522,Tabela1[#All],13,0)*E522))))))</f>
        <v/>
      </c>
      <c r="G522" s="16" t="str">
        <f>IF(B522="Compra de estoque",VLOOKUP(C522,Tabela1[#All],4,0)*E522,"")</f>
        <v/>
      </c>
      <c r="H522" s="16"/>
    </row>
    <row r="523" spans="1:8" x14ac:dyDescent="0.25">
      <c r="A523" s="14" t="str">
        <f t="shared" ca="1" si="8"/>
        <v/>
      </c>
      <c r="D523" s="15" t="str">
        <f>IF(C523="","",VLOOKUP(C523,Tabela1[#All],2,0))</f>
        <v/>
      </c>
      <c r="F523" s="16" t="str" cm="1">
        <f t="array" ref="F523">IF(B523="","",(IF(B523="Compra de estoque","",(_xlfn.IFS(AND(B523="Venda de produtos",H523="Sul/Sudeste"),(VLOOKUP(C523,Tabela1[#All],9,0)*E523),AND(B523="Venda de produtos",H523="Nordeste"),(VLOOKUP(C523,Tabela1[#All],11,0)*E523),AND("Venda de produtos",H523="Norte/Centro-Oeste"),(VLOOKUP(C523,Tabela1[#All],13,0)*E523))))))</f>
        <v/>
      </c>
      <c r="G523" s="16" t="str">
        <f>IF(B523="Compra de estoque",VLOOKUP(C523,Tabela1[#All],4,0)*E523,"")</f>
        <v/>
      </c>
      <c r="H523" s="16"/>
    </row>
    <row r="524" spans="1:8" x14ac:dyDescent="0.25">
      <c r="A524" s="14" t="str">
        <f t="shared" ca="1" si="8"/>
        <v/>
      </c>
      <c r="D524" s="15" t="str">
        <f>IF(C524="","",VLOOKUP(C524,Tabela1[#All],2,0))</f>
        <v/>
      </c>
      <c r="F524" s="16" t="str" cm="1">
        <f t="array" ref="F524">IF(B524="","",(IF(B524="Compra de estoque","",(_xlfn.IFS(AND(B524="Venda de produtos",H524="Sul/Sudeste"),(VLOOKUP(C524,Tabela1[#All],9,0)*E524),AND(B524="Venda de produtos",H524="Nordeste"),(VLOOKUP(C524,Tabela1[#All],11,0)*E524),AND("Venda de produtos",H524="Norte/Centro-Oeste"),(VLOOKUP(C524,Tabela1[#All],13,0)*E524))))))</f>
        <v/>
      </c>
      <c r="G524" s="16" t="str">
        <f>IF(B524="Compra de estoque",VLOOKUP(C524,Tabela1[#All],4,0)*E524,"")</f>
        <v/>
      </c>
      <c r="H524" s="16"/>
    </row>
    <row r="525" spans="1:8" x14ac:dyDescent="0.25">
      <c r="A525" s="14" t="str">
        <f t="shared" ca="1" si="8"/>
        <v/>
      </c>
      <c r="D525" s="15" t="str">
        <f>IF(C525="","",VLOOKUP(C525,Tabela1[#All],2,0))</f>
        <v/>
      </c>
      <c r="F525" s="16" t="str" cm="1">
        <f t="array" ref="F525">IF(B525="","",(IF(B525="Compra de estoque","",(_xlfn.IFS(AND(B525="Venda de produtos",H525="Sul/Sudeste"),(VLOOKUP(C525,Tabela1[#All],9,0)*E525),AND(B525="Venda de produtos",H525="Nordeste"),(VLOOKUP(C525,Tabela1[#All],11,0)*E525),AND("Venda de produtos",H525="Norte/Centro-Oeste"),(VLOOKUP(C525,Tabela1[#All],13,0)*E525))))))</f>
        <v/>
      </c>
      <c r="G525" s="16" t="str">
        <f>IF(B525="Compra de estoque",VLOOKUP(C525,Tabela1[#All],4,0)*E525,"")</f>
        <v/>
      </c>
      <c r="H525" s="16"/>
    </row>
    <row r="526" spans="1:8" x14ac:dyDescent="0.25">
      <c r="A526" s="14" t="str">
        <f t="shared" ca="1" si="8"/>
        <v/>
      </c>
      <c r="D526" s="15" t="str">
        <f>IF(C526="","",VLOOKUP(C526,Tabela1[#All],2,0))</f>
        <v/>
      </c>
      <c r="F526" s="16" t="str" cm="1">
        <f t="array" ref="F526">IF(B526="","",(IF(B526="Compra de estoque","",(_xlfn.IFS(AND(B526="Venda de produtos",H526="Sul/Sudeste"),(VLOOKUP(C526,Tabela1[#All],9,0)*E526),AND(B526="Venda de produtos",H526="Nordeste"),(VLOOKUP(C526,Tabela1[#All],11,0)*E526),AND("Venda de produtos",H526="Norte/Centro-Oeste"),(VLOOKUP(C526,Tabela1[#All],13,0)*E526))))))</f>
        <v/>
      </c>
      <c r="G526" s="16" t="str">
        <f>IF(B526="Compra de estoque",VLOOKUP(C526,Tabela1[#All],4,0)*E526,"")</f>
        <v/>
      </c>
      <c r="H526" s="16"/>
    </row>
    <row r="527" spans="1:8" x14ac:dyDescent="0.25">
      <c r="A527" s="14" t="str">
        <f t="shared" ca="1" si="8"/>
        <v/>
      </c>
      <c r="D527" s="15" t="str">
        <f>IF(C527="","",VLOOKUP(C527,Tabela1[#All],2,0))</f>
        <v/>
      </c>
      <c r="F527" s="16" t="str" cm="1">
        <f t="array" ref="F527">IF(B527="","",(IF(B527="Compra de estoque","",(_xlfn.IFS(AND(B527="Venda de produtos",H527="Sul/Sudeste"),(VLOOKUP(C527,Tabela1[#All],9,0)*E527),AND(B527="Venda de produtos",H527="Nordeste"),(VLOOKUP(C527,Tabela1[#All],11,0)*E527),AND("Venda de produtos",H527="Norte/Centro-Oeste"),(VLOOKUP(C527,Tabela1[#All],13,0)*E527))))))</f>
        <v/>
      </c>
      <c r="G527" s="16" t="str">
        <f>IF(B527="Compra de estoque",VLOOKUP(C527,Tabela1[#All],4,0)*E527,"")</f>
        <v/>
      </c>
      <c r="H527" s="16"/>
    </row>
    <row r="528" spans="1:8" x14ac:dyDescent="0.25">
      <c r="A528" s="14" t="str">
        <f t="shared" ca="1" si="8"/>
        <v/>
      </c>
      <c r="D528" s="15" t="str">
        <f>IF(C528="","",VLOOKUP(C528,Tabela1[#All],2,0))</f>
        <v/>
      </c>
      <c r="F528" s="16" t="str" cm="1">
        <f t="array" ref="F528">IF(B528="","",(IF(B528="Compra de estoque","",(_xlfn.IFS(AND(B528="Venda de produtos",H528="Sul/Sudeste"),(VLOOKUP(C528,Tabela1[#All],9,0)*E528),AND(B528="Venda de produtos",H528="Nordeste"),(VLOOKUP(C528,Tabela1[#All],11,0)*E528),AND("Venda de produtos",H528="Norte/Centro-Oeste"),(VLOOKUP(C528,Tabela1[#All],13,0)*E528))))))</f>
        <v/>
      </c>
      <c r="G528" s="16" t="str">
        <f>IF(B528="Compra de estoque",VLOOKUP(C528,Tabela1[#All],4,0)*E528,"")</f>
        <v/>
      </c>
      <c r="H528" s="16"/>
    </row>
    <row r="529" spans="1:8" x14ac:dyDescent="0.25">
      <c r="A529" s="14" t="str">
        <f t="shared" ca="1" si="8"/>
        <v/>
      </c>
      <c r="D529" s="15" t="str">
        <f>IF(C529="","",VLOOKUP(C529,Tabela1[#All],2,0))</f>
        <v/>
      </c>
      <c r="F529" s="16" t="str" cm="1">
        <f t="array" ref="F529">IF(B529="","",(IF(B529="Compra de estoque","",(_xlfn.IFS(AND(B529="Venda de produtos",H529="Sul/Sudeste"),(VLOOKUP(C529,Tabela1[#All],9,0)*E529),AND(B529="Venda de produtos",H529="Nordeste"),(VLOOKUP(C529,Tabela1[#All],11,0)*E529),AND("Venda de produtos",H529="Norte/Centro-Oeste"),(VLOOKUP(C529,Tabela1[#All],13,0)*E529))))))</f>
        <v/>
      </c>
      <c r="G529" s="16" t="str">
        <f>IF(B529="Compra de estoque",VLOOKUP(C529,Tabela1[#All],4,0)*E529,"")</f>
        <v/>
      </c>
      <c r="H529" s="16"/>
    </row>
    <row r="530" spans="1:8" x14ac:dyDescent="0.25">
      <c r="A530" s="14" t="str">
        <f t="shared" ca="1" si="8"/>
        <v/>
      </c>
      <c r="D530" s="15" t="str">
        <f>IF(C530="","",VLOOKUP(C530,Tabela1[#All],2,0))</f>
        <v/>
      </c>
      <c r="F530" s="16" t="str" cm="1">
        <f t="array" ref="F530">IF(B530="","",(IF(B530="Compra de estoque","",(_xlfn.IFS(AND(B530="Venda de produtos",H530="Sul/Sudeste"),(VLOOKUP(C530,Tabela1[#All],9,0)*E530),AND(B530="Venda de produtos",H530="Nordeste"),(VLOOKUP(C530,Tabela1[#All],11,0)*E530),AND("Venda de produtos",H530="Norte/Centro-Oeste"),(VLOOKUP(C530,Tabela1[#All],13,0)*E530))))))</f>
        <v/>
      </c>
      <c r="G530" s="16" t="str">
        <f>IF(B530="Compra de estoque",VLOOKUP(C530,Tabela1[#All],4,0)*E530,"")</f>
        <v/>
      </c>
      <c r="H530" s="16"/>
    </row>
    <row r="531" spans="1:8" x14ac:dyDescent="0.25">
      <c r="A531" s="14" t="str">
        <f t="shared" ca="1" si="8"/>
        <v/>
      </c>
      <c r="D531" s="15" t="str">
        <f>IF(C531="","",VLOOKUP(C531,Tabela1[#All],2,0))</f>
        <v/>
      </c>
      <c r="F531" s="16" t="str" cm="1">
        <f t="array" ref="F531">IF(B531="","",(IF(B531="Compra de estoque","",(_xlfn.IFS(AND(B531="Venda de produtos",H531="Sul/Sudeste"),(VLOOKUP(C531,Tabela1[#All],9,0)*E531),AND(B531="Venda de produtos",H531="Nordeste"),(VLOOKUP(C531,Tabela1[#All],11,0)*E531),AND("Venda de produtos",H531="Norte/Centro-Oeste"),(VLOOKUP(C531,Tabela1[#All],13,0)*E531))))))</f>
        <v/>
      </c>
      <c r="G531" s="16" t="str">
        <f>IF(B531="Compra de estoque",VLOOKUP(C531,Tabela1[#All],4,0)*E531,"")</f>
        <v/>
      </c>
      <c r="H531" s="16"/>
    </row>
    <row r="532" spans="1:8" x14ac:dyDescent="0.25">
      <c r="A532" s="14" t="str">
        <f t="shared" ca="1" si="8"/>
        <v/>
      </c>
      <c r="D532" s="15" t="str">
        <f>IF(C532="","",VLOOKUP(C532,Tabela1[#All],2,0))</f>
        <v/>
      </c>
      <c r="F532" s="16" t="str" cm="1">
        <f t="array" ref="F532">IF(B532="","",(IF(B532="Compra de estoque","",(_xlfn.IFS(AND(B532="Venda de produtos",H532="Sul/Sudeste"),(VLOOKUP(C532,Tabela1[#All],9,0)*E532),AND(B532="Venda de produtos",H532="Nordeste"),(VLOOKUP(C532,Tabela1[#All],11,0)*E532),AND("Venda de produtos",H532="Norte/Centro-Oeste"),(VLOOKUP(C532,Tabela1[#All],13,0)*E532))))))</f>
        <v/>
      </c>
      <c r="G532" s="16" t="str">
        <f>IF(B532="Compra de estoque",VLOOKUP(C532,Tabela1[#All],4,0)*E532,"")</f>
        <v/>
      </c>
      <c r="H532" s="16"/>
    </row>
    <row r="533" spans="1:8" x14ac:dyDescent="0.25">
      <c r="A533" s="14" t="str">
        <f t="shared" ca="1" si="8"/>
        <v/>
      </c>
      <c r="D533" s="15" t="str">
        <f>IF(C533="","",VLOOKUP(C533,Tabela1[#All],2,0))</f>
        <v/>
      </c>
      <c r="F533" s="16" t="str" cm="1">
        <f t="array" ref="F533">IF(B533="","",(IF(B533="Compra de estoque","",(_xlfn.IFS(AND(B533="Venda de produtos",H533="Sul/Sudeste"),(VLOOKUP(C533,Tabela1[#All],9,0)*E533),AND(B533="Venda de produtos",H533="Nordeste"),(VLOOKUP(C533,Tabela1[#All],11,0)*E533),AND("Venda de produtos",H533="Norte/Centro-Oeste"),(VLOOKUP(C533,Tabela1[#All],13,0)*E533))))))</f>
        <v/>
      </c>
      <c r="G533" s="16" t="str">
        <f>IF(B533="Compra de estoque",VLOOKUP(C533,Tabela1[#All],4,0)*E533,"")</f>
        <v/>
      </c>
      <c r="H533" s="16"/>
    </row>
    <row r="534" spans="1:8" x14ac:dyDescent="0.25">
      <c r="A534" s="14" t="str">
        <f t="shared" ca="1" si="8"/>
        <v/>
      </c>
      <c r="D534" s="15" t="str">
        <f>IF(C534="","",VLOOKUP(C534,Tabela1[#All],2,0))</f>
        <v/>
      </c>
      <c r="F534" s="16" t="str" cm="1">
        <f t="array" ref="F534">IF(B534="","",(IF(B534="Compra de estoque","",(_xlfn.IFS(AND(B534="Venda de produtos",H534="Sul/Sudeste"),(VLOOKUP(C534,Tabela1[#All],9,0)*E534),AND(B534="Venda de produtos",H534="Nordeste"),(VLOOKUP(C534,Tabela1[#All],11,0)*E534),AND("Venda de produtos",H534="Norte/Centro-Oeste"),(VLOOKUP(C534,Tabela1[#All],13,0)*E534))))))</f>
        <v/>
      </c>
      <c r="G534" s="16" t="str">
        <f>IF(B534="Compra de estoque",VLOOKUP(C534,Tabela1[#All],4,0)*E534,"")</f>
        <v/>
      </c>
      <c r="H534" s="16"/>
    </row>
    <row r="535" spans="1:8" x14ac:dyDescent="0.25">
      <c r="A535" s="14" t="str">
        <f t="shared" ca="1" si="8"/>
        <v/>
      </c>
      <c r="D535" s="15" t="str">
        <f>IF(C535="","",VLOOKUP(C535,Tabela1[#All],2,0))</f>
        <v/>
      </c>
      <c r="F535" s="16" t="str" cm="1">
        <f t="array" ref="F535">IF(B535="","",(IF(B535="Compra de estoque","",(_xlfn.IFS(AND(B535="Venda de produtos",H535="Sul/Sudeste"),(VLOOKUP(C535,Tabela1[#All],9,0)*E535),AND(B535="Venda de produtos",H535="Nordeste"),(VLOOKUP(C535,Tabela1[#All],11,0)*E535),AND("Venda de produtos",H535="Norte/Centro-Oeste"),(VLOOKUP(C535,Tabela1[#All],13,0)*E535))))))</f>
        <v/>
      </c>
      <c r="G535" s="16" t="str">
        <f>IF(B535="Compra de estoque",VLOOKUP(C535,Tabela1[#All],4,0)*E535,"")</f>
        <v/>
      </c>
      <c r="H535" s="16"/>
    </row>
    <row r="536" spans="1:8" x14ac:dyDescent="0.25">
      <c r="A536" s="14" t="str">
        <f t="shared" ca="1" si="8"/>
        <v/>
      </c>
      <c r="D536" s="15" t="str">
        <f>IF(C536="","",VLOOKUP(C536,Tabela1[#All],2,0))</f>
        <v/>
      </c>
      <c r="F536" s="16" t="str" cm="1">
        <f t="array" ref="F536">IF(B536="","",(IF(B536="Compra de estoque","",(_xlfn.IFS(AND(B536="Venda de produtos",H536="Sul/Sudeste"),(VLOOKUP(C536,Tabela1[#All],9,0)*E536),AND(B536="Venda de produtos",H536="Nordeste"),(VLOOKUP(C536,Tabela1[#All],11,0)*E536),AND("Venda de produtos",H536="Norte/Centro-Oeste"),(VLOOKUP(C536,Tabela1[#All],13,0)*E536))))))</f>
        <v/>
      </c>
      <c r="G536" s="16" t="str">
        <f>IF(B536="Compra de estoque",VLOOKUP(C536,Tabela1[#All],4,0)*E536,"")</f>
        <v/>
      </c>
      <c r="H536" s="16"/>
    </row>
    <row r="537" spans="1:8" x14ac:dyDescent="0.25">
      <c r="A537" s="14" t="str">
        <f t="shared" ca="1" si="8"/>
        <v/>
      </c>
      <c r="D537" s="15" t="str">
        <f>IF(C537="","",VLOOKUP(C537,Tabela1[#All],2,0))</f>
        <v/>
      </c>
      <c r="F537" s="16" t="str" cm="1">
        <f t="array" ref="F537">IF(B537="","",(IF(B537="Compra de estoque","",(_xlfn.IFS(AND(B537="Venda de produtos",H537="Sul/Sudeste"),(VLOOKUP(C537,Tabela1[#All],9,0)*E537),AND(B537="Venda de produtos",H537="Nordeste"),(VLOOKUP(C537,Tabela1[#All],11,0)*E537),AND("Venda de produtos",H537="Norte/Centro-Oeste"),(VLOOKUP(C537,Tabela1[#All],13,0)*E537))))))</f>
        <v/>
      </c>
      <c r="G537" s="16" t="str">
        <f>IF(B537="Compra de estoque",VLOOKUP(C537,Tabela1[#All],4,0)*E537,"")</f>
        <v/>
      </c>
      <c r="H537" s="16"/>
    </row>
    <row r="538" spans="1:8" x14ac:dyDescent="0.25">
      <c r="A538" s="14" t="str">
        <f t="shared" ca="1" si="8"/>
        <v/>
      </c>
      <c r="D538" s="15" t="str">
        <f>IF(C538="","",VLOOKUP(C538,Tabela1[#All],2,0))</f>
        <v/>
      </c>
      <c r="F538" s="16" t="str" cm="1">
        <f t="array" ref="F538">IF(B538="","",(IF(B538="Compra de estoque","",(_xlfn.IFS(AND(B538="Venda de produtos",H538="Sul/Sudeste"),(VLOOKUP(C538,Tabela1[#All],9,0)*E538),AND(B538="Venda de produtos",H538="Nordeste"),(VLOOKUP(C538,Tabela1[#All],11,0)*E538),AND("Venda de produtos",H538="Norte/Centro-Oeste"),(VLOOKUP(C538,Tabela1[#All],13,0)*E538))))))</f>
        <v/>
      </c>
      <c r="G538" s="16" t="str">
        <f>IF(B538="Compra de estoque",VLOOKUP(C538,Tabela1[#All],4,0)*E538,"")</f>
        <v/>
      </c>
      <c r="H538" s="16"/>
    </row>
    <row r="539" spans="1:8" x14ac:dyDescent="0.25">
      <c r="A539" s="14" t="str">
        <f t="shared" ca="1" si="8"/>
        <v/>
      </c>
      <c r="D539" s="15" t="str">
        <f>IF(C539="","",VLOOKUP(C539,Tabela1[#All],2,0))</f>
        <v/>
      </c>
      <c r="F539" s="16" t="str" cm="1">
        <f t="array" ref="F539">IF(B539="","",(IF(B539="Compra de estoque","",(_xlfn.IFS(AND(B539="Venda de produtos",H539="Sul/Sudeste"),(VLOOKUP(C539,Tabela1[#All],9,0)*E539),AND(B539="Venda de produtos",H539="Nordeste"),(VLOOKUP(C539,Tabela1[#All],11,0)*E539),AND("Venda de produtos",H539="Norte/Centro-Oeste"),(VLOOKUP(C539,Tabela1[#All],13,0)*E539))))))</f>
        <v/>
      </c>
      <c r="G539" s="16" t="str">
        <f>IF(B539="Compra de estoque",VLOOKUP(C539,Tabela1[#All],4,0)*E539,"")</f>
        <v/>
      </c>
      <c r="H539" s="16"/>
    </row>
    <row r="540" spans="1:8" x14ac:dyDescent="0.25">
      <c r="A540" s="14" t="str">
        <f t="shared" ca="1" si="8"/>
        <v/>
      </c>
      <c r="D540" s="15" t="str">
        <f>IF(C540="","",VLOOKUP(C540,Tabela1[#All],2,0))</f>
        <v/>
      </c>
      <c r="F540" s="16" t="str" cm="1">
        <f t="array" ref="F540">IF(B540="","",(IF(B540="Compra de estoque","",(_xlfn.IFS(AND(B540="Venda de produtos",H540="Sul/Sudeste"),(VLOOKUP(C540,Tabela1[#All],9,0)*E540),AND(B540="Venda de produtos",H540="Nordeste"),(VLOOKUP(C540,Tabela1[#All],11,0)*E540),AND("Venda de produtos",H540="Norte/Centro-Oeste"),(VLOOKUP(C540,Tabela1[#All],13,0)*E540))))))</f>
        <v/>
      </c>
      <c r="G540" s="16" t="str">
        <f>IF(B540="Compra de estoque",VLOOKUP(C540,Tabela1[#All],4,0)*E540,"")</f>
        <v/>
      </c>
      <c r="H540" s="16"/>
    </row>
    <row r="541" spans="1:8" x14ac:dyDescent="0.25">
      <c r="A541" s="14" t="str">
        <f t="shared" ca="1" si="8"/>
        <v/>
      </c>
      <c r="D541" s="15" t="str">
        <f>IF(C541="","",VLOOKUP(C541,Tabela1[#All],2,0))</f>
        <v/>
      </c>
      <c r="F541" s="16" t="str" cm="1">
        <f t="array" ref="F541">IF(B541="","",(IF(B541="Compra de estoque","",(_xlfn.IFS(AND(B541="Venda de produtos",H541="Sul/Sudeste"),(VLOOKUP(C541,Tabela1[#All],9,0)*E541),AND(B541="Venda de produtos",H541="Nordeste"),(VLOOKUP(C541,Tabela1[#All],11,0)*E541),AND("Venda de produtos",H541="Norte/Centro-Oeste"),(VLOOKUP(C541,Tabela1[#All],13,0)*E541))))))</f>
        <v/>
      </c>
      <c r="G541" s="16" t="str">
        <f>IF(B541="Compra de estoque",VLOOKUP(C541,Tabela1[#All],4,0)*E541,"")</f>
        <v/>
      </c>
      <c r="H541" s="16"/>
    </row>
    <row r="542" spans="1:8" x14ac:dyDescent="0.25">
      <c r="A542" s="14" t="str">
        <f t="shared" ca="1" si="8"/>
        <v/>
      </c>
      <c r="D542" s="15" t="str">
        <f>IF(C542="","",VLOOKUP(C542,Tabela1[#All],2,0))</f>
        <v/>
      </c>
      <c r="F542" s="16" t="str" cm="1">
        <f t="array" ref="F542">IF(B542="","",(IF(B542="Compra de estoque","",(_xlfn.IFS(AND(B542="Venda de produtos",H542="Sul/Sudeste"),(VLOOKUP(C542,Tabela1[#All],9,0)*E542),AND(B542="Venda de produtos",H542="Nordeste"),(VLOOKUP(C542,Tabela1[#All],11,0)*E542),AND("Venda de produtos",H542="Norte/Centro-Oeste"),(VLOOKUP(C542,Tabela1[#All],13,0)*E542))))))</f>
        <v/>
      </c>
      <c r="G542" s="16" t="str">
        <f>IF(B542="Compra de estoque",VLOOKUP(C542,Tabela1[#All],4,0)*E542,"")</f>
        <v/>
      </c>
      <c r="H542" s="16"/>
    </row>
    <row r="543" spans="1:8" x14ac:dyDescent="0.25">
      <c r="A543" s="14" t="str">
        <f t="shared" ca="1" si="8"/>
        <v/>
      </c>
      <c r="D543" s="15" t="str">
        <f>IF(C543="","",VLOOKUP(C543,Tabela1[#All],2,0))</f>
        <v/>
      </c>
      <c r="F543" s="16" t="str" cm="1">
        <f t="array" ref="F543">IF(B543="","",(IF(B543="Compra de estoque","",(_xlfn.IFS(AND(B543="Venda de produtos",H543="Sul/Sudeste"),(VLOOKUP(C543,Tabela1[#All],9,0)*E543),AND(B543="Venda de produtos",H543="Nordeste"),(VLOOKUP(C543,Tabela1[#All],11,0)*E543),AND("Venda de produtos",H543="Norte/Centro-Oeste"),(VLOOKUP(C543,Tabela1[#All],13,0)*E543))))))</f>
        <v/>
      </c>
      <c r="G543" s="16" t="str">
        <f>IF(B543="Compra de estoque",VLOOKUP(C543,Tabela1[#All],4,0)*E543,"")</f>
        <v/>
      </c>
      <c r="H543" s="16"/>
    </row>
    <row r="544" spans="1:8" x14ac:dyDescent="0.25">
      <c r="A544" s="14" t="str">
        <f t="shared" ca="1" si="8"/>
        <v/>
      </c>
      <c r="D544" s="15" t="str">
        <f>IF(C544="","",VLOOKUP(C544,Tabela1[#All],2,0))</f>
        <v/>
      </c>
      <c r="F544" s="16" t="str" cm="1">
        <f t="array" ref="F544">IF(B544="","",(IF(B544="Compra de estoque","",(_xlfn.IFS(AND(B544="Venda de produtos",H544="Sul/Sudeste"),(VLOOKUP(C544,Tabela1[#All],9,0)*E544),AND(B544="Venda de produtos",H544="Nordeste"),(VLOOKUP(C544,Tabela1[#All],11,0)*E544),AND("Venda de produtos",H544="Norte/Centro-Oeste"),(VLOOKUP(C544,Tabela1[#All],13,0)*E544))))))</f>
        <v/>
      </c>
      <c r="G544" s="16" t="str">
        <f>IF(B544="Compra de estoque",VLOOKUP(C544,Tabela1[#All],4,0)*E544,"")</f>
        <v/>
      </c>
      <c r="H544" s="16"/>
    </row>
    <row r="545" spans="1:8" x14ac:dyDescent="0.25">
      <c r="A545" s="14" t="str">
        <f t="shared" ca="1" si="8"/>
        <v/>
      </c>
      <c r="D545" s="15" t="str">
        <f>IF(C545="","",VLOOKUP(C545,Tabela1[#All],2,0))</f>
        <v/>
      </c>
      <c r="F545" s="16" t="str" cm="1">
        <f t="array" ref="F545">IF(B545="","",(IF(B545="Compra de estoque","",(_xlfn.IFS(AND(B545="Venda de produtos",H545="Sul/Sudeste"),(VLOOKUP(C545,Tabela1[#All],9,0)*E545),AND(B545="Venda de produtos",H545="Nordeste"),(VLOOKUP(C545,Tabela1[#All],11,0)*E545),AND("Venda de produtos",H545="Norte/Centro-Oeste"),(VLOOKUP(C545,Tabela1[#All],13,0)*E545))))))</f>
        <v/>
      </c>
      <c r="G545" s="16" t="str">
        <f>IF(B545="Compra de estoque",VLOOKUP(C545,Tabela1[#All],4,0)*E545,"")</f>
        <v/>
      </c>
      <c r="H545" s="16"/>
    </row>
    <row r="546" spans="1:8" x14ac:dyDescent="0.25">
      <c r="A546" s="14" t="str">
        <f t="shared" ca="1" si="8"/>
        <v/>
      </c>
      <c r="D546" s="15" t="str">
        <f>IF(C546="","",VLOOKUP(C546,Tabela1[#All],2,0))</f>
        <v/>
      </c>
      <c r="F546" s="16" t="str" cm="1">
        <f t="array" ref="F546">IF(B546="","",(IF(B546="Compra de estoque","",(_xlfn.IFS(AND(B546="Venda de produtos",H546="Sul/Sudeste"),(VLOOKUP(C546,Tabela1[#All],9,0)*E546),AND(B546="Venda de produtos",H546="Nordeste"),(VLOOKUP(C546,Tabela1[#All],11,0)*E546),AND("Venda de produtos",H546="Norte/Centro-Oeste"),(VLOOKUP(C546,Tabela1[#All],13,0)*E546))))))</f>
        <v/>
      </c>
      <c r="G546" s="16" t="str">
        <f>IF(B546="Compra de estoque",VLOOKUP(C546,Tabela1[#All],4,0)*E546,"")</f>
        <v/>
      </c>
      <c r="H546" s="16"/>
    </row>
    <row r="547" spans="1:8" x14ac:dyDescent="0.25">
      <c r="A547" s="14" t="str">
        <f t="shared" ca="1" si="8"/>
        <v/>
      </c>
      <c r="D547" s="15" t="str">
        <f>IF(C547="","",VLOOKUP(C547,Tabela1[#All],2,0))</f>
        <v/>
      </c>
      <c r="F547" s="16" t="str" cm="1">
        <f t="array" ref="F547">IF(B547="","",(IF(B547="Compra de estoque","",(_xlfn.IFS(AND(B547="Venda de produtos",H547="Sul/Sudeste"),(VLOOKUP(C547,Tabela1[#All],9,0)*E547),AND(B547="Venda de produtos",H547="Nordeste"),(VLOOKUP(C547,Tabela1[#All],11,0)*E547),AND("Venda de produtos",H547="Norte/Centro-Oeste"),(VLOOKUP(C547,Tabela1[#All],13,0)*E547))))))</f>
        <v/>
      </c>
      <c r="G547" s="16" t="str">
        <f>IF(B547="Compra de estoque",VLOOKUP(C547,Tabela1[#All],4,0)*E547,"")</f>
        <v/>
      </c>
      <c r="H547" s="16"/>
    </row>
    <row r="548" spans="1:8" x14ac:dyDescent="0.25">
      <c r="A548" s="14" t="str">
        <f t="shared" ca="1" si="8"/>
        <v/>
      </c>
      <c r="D548" s="15" t="str">
        <f>IF(C548="","",VLOOKUP(C548,Tabela1[#All],2,0))</f>
        <v/>
      </c>
      <c r="F548" s="16" t="str" cm="1">
        <f t="array" ref="F548">IF(B548="","",(IF(B548="Compra de estoque","",(_xlfn.IFS(AND(B548="Venda de produtos",H548="Sul/Sudeste"),(VLOOKUP(C548,Tabela1[#All],9,0)*E548),AND(B548="Venda de produtos",H548="Nordeste"),(VLOOKUP(C548,Tabela1[#All],11,0)*E548),AND("Venda de produtos",H548="Norte/Centro-Oeste"),(VLOOKUP(C548,Tabela1[#All],13,0)*E548))))))</f>
        <v/>
      </c>
      <c r="G548" s="16" t="str">
        <f>IF(B548="Compra de estoque",VLOOKUP(C548,Tabela1[#All],4,0)*E548,"")</f>
        <v/>
      </c>
      <c r="H548" s="16"/>
    </row>
    <row r="549" spans="1:8" x14ac:dyDescent="0.25">
      <c r="A549" s="14" t="str">
        <f t="shared" ca="1" si="8"/>
        <v/>
      </c>
      <c r="D549" s="15" t="str">
        <f>IF(C549="","",VLOOKUP(C549,Tabela1[#All],2,0))</f>
        <v/>
      </c>
      <c r="F549" s="16" t="str" cm="1">
        <f t="array" ref="F549">IF(B549="","",(IF(B549="Compra de estoque","",(_xlfn.IFS(AND(B549="Venda de produtos",H549="Sul/Sudeste"),(VLOOKUP(C549,Tabela1[#All],9,0)*E549),AND(B549="Venda de produtos",H549="Nordeste"),(VLOOKUP(C549,Tabela1[#All],11,0)*E549),AND("Venda de produtos",H549="Norte/Centro-Oeste"),(VLOOKUP(C549,Tabela1[#All],13,0)*E549))))))</f>
        <v/>
      </c>
      <c r="G549" s="16" t="str">
        <f>IF(B549="Compra de estoque",VLOOKUP(C549,Tabela1[#All],4,0)*E549,"")</f>
        <v/>
      </c>
      <c r="H549" s="16"/>
    </row>
    <row r="550" spans="1:8" x14ac:dyDescent="0.25">
      <c r="A550" s="14" t="str">
        <f t="shared" ca="1" si="8"/>
        <v/>
      </c>
      <c r="D550" s="15" t="str">
        <f>IF(C550="","",VLOOKUP(C550,Tabela1[#All],2,0))</f>
        <v/>
      </c>
      <c r="F550" s="16" t="str" cm="1">
        <f t="array" ref="F550">IF(B550="","",(IF(B550="Compra de estoque","",(_xlfn.IFS(AND(B550="Venda de produtos",H550="Sul/Sudeste"),(VLOOKUP(C550,Tabela1[#All],9,0)*E550),AND(B550="Venda de produtos",H550="Nordeste"),(VLOOKUP(C550,Tabela1[#All],11,0)*E550),AND("Venda de produtos",H550="Norte/Centro-Oeste"),(VLOOKUP(C550,Tabela1[#All],13,0)*E550))))))</f>
        <v/>
      </c>
      <c r="G550" s="16" t="str">
        <f>IF(B550="Compra de estoque",VLOOKUP(C550,Tabela1[#All],4,0)*E550,"")</f>
        <v/>
      </c>
      <c r="H550" s="16"/>
    </row>
    <row r="551" spans="1:8" x14ac:dyDescent="0.25">
      <c r="A551" s="14" t="str">
        <f t="shared" ca="1" si="8"/>
        <v/>
      </c>
      <c r="D551" s="15" t="str">
        <f>IF(C551="","",VLOOKUP(C551,Tabela1[#All],2,0))</f>
        <v/>
      </c>
      <c r="F551" s="16" t="str" cm="1">
        <f t="array" ref="F551">IF(B551="","",(IF(B551="Compra de estoque","",(_xlfn.IFS(AND(B551="Venda de produtos",H551="Sul/Sudeste"),(VLOOKUP(C551,Tabela1[#All],9,0)*E551),AND(B551="Venda de produtos",H551="Nordeste"),(VLOOKUP(C551,Tabela1[#All],11,0)*E551),AND("Venda de produtos",H551="Norte/Centro-Oeste"),(VLOOKUP(C551,Tabela1[#All],13,0)*E551))))))</f>
        <v/>
      </c>
      <c r="G551" s="16" t="str">
        <f>IF(B551="Compra de estoque",VLOOKUP(C551,Tabela1[#All],4,0)*E551,"")</f>
        <v/>
      </c>
      <c r="H551" s="16"/>
    </row>
    <row r="552" spans="1:8" x14ac:dyDescent="0.25">
      <c r="A552" s="14" t="str">
        <f t="shared" ca="1" si="8"/>
        <v/>
      </c>
      <c r="D552" s="15" t="str">
        <f>IF(C552="","",VLOOKUP(C552,Tabela1[#All],2,0))</f>
        <v/>
      </c>
      <c r="F552" s="16" t="str" cm="1">
        <f t="array" ref="F552">IF(B552="","",(IF(B552="Compra de estoque","",(_xlfn.IFS(AND(B552="Venda de produtos",H552="Sul/Sudeste"),(VLOOKUP(C552,Tabela1[#All],9,0)*E552),AND(B552="Venda de produtos",H552="Nordeste"),(VLOOKUP(C552,Tabela1[#All],11,0)*E552),AND("Venda de produtos",H552="Norte/Centro-Oeste"),(VLOOKUP(C552,Tabela1[#All],13,0)*E552))))))</f>
        <v/>
      </c>
      <c r="G552" s="16" t="str">
        <f>IF(B552="Compra de estoque",VLOOKUP(C552,Tabela1[#All],4,0)*E552,"")</f>
        <v/>
      </c>
      <c r="H552" s="16"/>
    </row>
    <row r="553" spans="1:8" x14ac:dyDescent="0.25">
      <c r="A553" s="14" t="str">
        <f t="shared" ca="1" si="8"/>
        <v/>
      </c>
      <c r="D553" s="15" t="str">
        <f>IF(C553="","",VLOOKUP(C553,Tabela1[#All],2,0))</f>
        <v/>
      </c>
      <c r="F553" s="16" t="str" cm="1">
        <f t="array" ref="F553">IF(B553="","",(IF(B553="Compra de estoque","",(_xlfn.IFS(AND(B553="Venda de produtos",H553="Sul/Sudeste"),(VLOOKUP(C553,Tabela1[#All],9,0)*E553),AND(B553="Venda de produtos",H553="Nordeste"),(VLOOKUP(C553,Tabela1[#All],11,0)*E553),AND("Venda de produtos",H553="Norte/Centro-Oeste"),(VLOOKUP(C553,Tabela1[#All],13,0)*E553))))))</f>
        <v/>
      </c>
      <c r="G553" s="16" t="str">
        <f>IF(B553="Compra de estoque",VLOOKUP(C553,Tabela1[#All],4,0)*E553,"")</f>
        <v/>
      </c>
      <c r="H553" s="16"/>
    </row>
    <row r="554" spans="1:8" x14ac:dyDescent="0.25">
      <c r="A554" s="14" t="str">
        <f t="shared" ca="1" si="8"/>
        <v/>
      </c>
      <c r="D554" s="15" t="str">
        <f>IF(C554="","",VLOOKUP(C554,Tabela1[#All],2,0))</f>
        <v/>
      </c>
      <c r="F554" s="16" t="str" cm="1">
        <f t="array" ref="F554">IF(B554="","",(IF(B554="Compra de estoque","",(_xlfn.IFS(AND(B554="Venda de produtos",H554="Sul/Sudeste"),(VLOOKUP(C554,Tabela1[#All],9,0)*E554),AND(B554="Venda de produtos",H554="Nordeste"),(VLOOKUP(C554,Tabela1[#All],11,0)*E554),AND("Venda de produtos",H554="Norte/Centro-Oeste"),(VLOOKUP(C554,Tabela1[#All],13,0)*E554))))))</f>
        <v/>
      </c>
      <c r="G554" s="16" t="str">
        <f>IF(B554="Compra de estoque",VLOOKUP(C554,Tabela1[#All],4,0)*E554,"")</f>
        <v/>
      </c>
      <c r="H554" s="16"/>
    </row>
    <row r="555" spans="1:8" x14ac:dyDescent="0.25">
      <c r="A555" s="14" t="str">
        <f t="shared" ca="1" si="8"/>
        <v/>
      </c>
      <c r="D555" s="15" t="str">
        <f>IF(C555="","",VLOOKUP(C555,Tabela1[#All],2,0))</f>
        <v/>
      </c>
      <c r="F555" s="16" t="str" cm="1">
        <f t="array" ref="F555">IF(B555="","",(IF(B555="Compra de estoque","",(_xlfn.IFS(AND(B555="Venda de produtos",H555="Sul/Sudeste"),(VLOOKUP(C555,Tabela1[#All],9,0)*E555),AND(B555="Venda de produtos",H555="Nordeste"),(VLOOKUP(C555,Tabela1[#All],11,0)*E555),AND("Venda de produtos",H555="Norte/Centro-Oeste"),(VLOOKUP(C555,Tabela1[#All],13,0)*E555))))))</f>
        <v/>
      </c>
      <c r="G555" s="16" t="str">
        <f>IF(B555="Compra de estoque",VLOOKUP(C555,Tabela1[#All],4,0)*E555,"")</f>
        <v/>
      </c>
      <c r="H555" s="16"/>
    </row>
    <row r="556" spans="1:8" x14ac:dyDescent="0.25">
      <c r="A556" s="14" t="str">
        <f t="shared" ca="1" si="8"/>
        <v/>
      </c>
      <c r="D556" s="15" t="str">
        <f>IF(C556="","",VLOOKUP(C556,Tabela1[#All],2,0))</f>
        <v/>
      </c>
      <c r="F556" s="16" t="str" cm="1">
        <f t="array" ref="F556">IF(B556="","",(IF(B556="Compra de estoque","",(_xlfn.IFS(AND(B556="Venda de produtos",H556="Sul/Sudeste"),(VLOOKUP(C556,Tabela1[#All],9,0)*E556),AND(B556="Venda de produtos",H556="Nordeste"),(VLOOKUP(C556,Tabela1[#All],11,0)*E556),AND("Venda de produtos",H556="Norte/Centro-Oeste"),(VLOOKUP(C556,Tabela1[#All],13,0)*E556))))))</f>
        <v/>
      </c>
      <c r="G556" s="16" t="str">
        <f>IF(B556="Compra de estoque",VLOOKUP(C556,Tabela1[#All],4,0)*E556,"")</f>
        <v/>
      </c>
      <c r="H556" s="16"/>
    </row>
    <row r="557" spans="1:8" x14ac:dyDescent="0.25">
      <c r="A557" s="14" t="str">
        <f t="shared" ca="1" si="8"/>
        <v/>
      </c>
      <c r="D557" s="15" t="str">
        <f>IF(C557="","",VLOOKUP(C557,Tabela1[#All],2,0))</f>
        <v/>
      </c>
      <c r="F557" s="16" t="str" cm="1">
        <f t="array" ref="F557">IF(B557="","",(IF(B557="Compra de estoque","",(_xlfn.IFS(AND(B557="Venda de produtos",H557="Sul/Sudeste"),(VLOOKUP(C557,Tabela1[#All],9,0)*E557),AND(B557="Venda de produtos",H557="Nordeste"),(VLOOKUP(C557,Tabela1[#All],11,0)*E557),AND("Venda de produtos",H557="Norte/Centro-Oeste"),(VLOOKUP(C557,Tabela1[#All],13,0)*E557))))))</f>
        <v/>
      </c>
      <c r="G557" s="16" t="str">
        <f>IF(B557="Compra de estoque",VLOOKUP(C557,Tabela1[#All],4,0)*E557,"")</f>
        <v/>
      </c>
      <c r="H557" s="16"/>
    </row>
    <row r="558" spans="1:8" x14ac:dyDescent="0.25">
      <c r="A558" s="14" t="str">
        <f t="shared" ca="1" si="8"/>
        <v/>
      </c>
      <c r="D558" s="15" t="str">
        <f>IF(C558="","",VLOOKUP(C558,Tabela1[#All],2,0))</f>
        <v/>
      </c>
      <c r="F558" s="16" t="str" cm="1">
        <f t="array" ref="F558">IF(B558="","",(IF(B558="Compra de estoque","",(_xlfn.IFS(AND(B558="Venda de produtos",H558="Sul/Sudeste"),(VLOOKUP(C558,Tabela1[#All],9,0)*E558),AND(B558="Venda de produtos",H558="Nordeste"),(VLOOKUP(C558,Tabela1[#All],11,0)*E558),AND("Venda de produtos",H558="Norte/Centro-Oeste"),(VLOOKUP(C558,Tabela1[#All],13,0)*E558))))))</f>
        <v/>
      </c>
      <c r="G558" s="16" t="str">
        <f>IF(B558="Compra de estoque",VLOOKUP(C558,Tabela1[#All],4,0)*E558,"")</f>
        <v/>
      </c>
      <c r="H558" s="16"/>
    </row>
    <row r="559" spans="1:8" x14ac:dyDescent="0.25">
      <c r="A559" s="14" t="str">
        <f t="shared" ca="1" si="8"/>
        <v/>
      </c>
      <c r="D559" s="15" t="str">
        <f>IF(C559="","",VLOOKUP(C559,Tabela1[#All],2,0))</f>
        <v/>
      </c>
      <c r="F559" s="16" t="str" cm="1">
        <f t="array" ref="F559">IF(B559="","",(IF(B559="Compra de estoque","",(_xlfn.IFS(AND(B559="Venda de produtos",H559="Sul/Sudeste"),(VLOOKUP(C559,Tabela1[#All],9,0)*E559),AND(B559="Venda de produtos",H559="Nordeste"),(VLOOKUP(C559,Tabela1[#All],11,0)*E559),AND("Venda de produtos",H559="Norte/Centro-Oeste"),(VLOOKUP(C559,Tabela1[#All],13,0)*E559))))))</f>
        <v/>
      </c>
      <c r="G559" s="16" t="str">
        <f>IF(B559="Compra de estoque",VLOOKUP(C559,Tabela1[#All],4,0)*E559,"")</f>
        <v/>
      </c>
      <c r="H559" s="16"/>
    </row>
    <row r="560" spans="1:8" x14ac:dyDescent="0.25">
      <c r="A560" s="14" t="str">
        <f t="shared" ca="1" si="8"/>
        <v/>
      </c>
      <c r="D560" s="15" t="str">
        <f>IF(C560="","",VLOOKUP(C560,Tabela1[#All],2,0))</f>
        <v/>
      </c>
      <c r="F560" s="16" t="str" cm="1">
        <f t="array" ref="F560">IF(B560="","",(IF(B560="Compra de estoque","",(_xlfn.IFS(AND(B560="Venda de produtos",H560="Sul/Sudeste"),(VLOOKUP(C560,Tabela1[#All],9,0)*E560),AND(B560="Venda de produtos",H560="Nordeste"),(VLOOKUP(C560,Tabela1[#All],11,0)*E560),AND("Venda de produtos",H560="Norte/Centro-Oeste"),(VLOOKUP(C560,Tabela1[#All],13,0)*E560))))))</f>
        <v/>
      </c>
      <c r="G560" s="16" t="str">
        <f>IF(B560="Compra de estoque",VLOOKUP(C560,Tabela1[#All],4,0)*E560,"")</f>
        <v/>
      </c>
      <c r="H560" s="16"/>
    </row>
    <row r="561" spans="1:8" x14ac:dyDescent="0.25">
      <c r="A561" s="14" t="str">
        <f t="shared" ca="1" si="8"/>
        <v/>
      </c>
      <c r="D561" s="15" t="str">
        <f>IF(C561="","",VLOOKUP(C561,Tabela1[#All],2,0))</f>
        <v/>
      </c>
      <c r="F561" s="16" t="str" cm="1">
        <f t="array" ref="F561">IF(B561="","",(IF(B561="Compra de estoque","",(_xlfn.IFS(AND(B561="Venda de produtos",H561="Sul/Sudeste"),(VLOOKUP(C561,Tabela1[#All],9,0)*E561),AND(B561="Venda de produtos",H561="Nordeste"),(VLOOKUP(C561,Tabela1[#All],11,0)*E561),AND("Venda de produtos",H561="Norte/Centro-Oeste"),(VLOOKUP(C561,Tabela1[#All],13,0)*E561))))))</f>
        <v/>
      </c>
      <c r="G561" s="16" t="str">
        <f>IF(B561="Compra de estoque",VLOOKUP(C561,Tabela1[#All],4,0)*E561,"")</f>
        <v/>
      </c>
      <c r="H561" s="16"/>
    </row>
    <row r="562" spans="1:8" x14ac:dyDescent="0.25">
      <c r="A562" s="14" t="str">
        <f t="shared" ca="1" si="8"/>
        <v/>
      </c>
      <c r="D562" s="15" t="str">
        <f>IF(C562="","",VLOOKUP(C562,Tabela1[#All],2,0))</f>
        <v/>
      </c>
      <c r="F562" s="16" t="str" cm="1">
        <f t="array" ref="F562">IF(B562="","",(IF(B562="Compra de estoque","",(_xlfn.IFS(AND(B562="Venda de produtos",H562="Sul/Sudeste"),(VLOOKUP(C562,Tabela1[#All],9,0)*E562),AND(B562="Venda de produtos",H562="Nordeste"),(VLOOKUP(C562,Tabela1[#All],11,0)*E562),AND("Venda de produtos",H562="Norte/Centro-Oeste"),(VLOOKUP(C562,Tabela1[#All],13,0)*E562))))))</f>
        <v/>
      </c>
      <c r="G562" s="16" t="str">
        <f>IF(B562="Compra de estoque",VLOOKUP(C562,Tabela1[#All],4,0)*E562,"")</f>
        <v/>
      </c>
      <c r="H562" s="16"/>
    </row>
    <row r="563" spans="1:8" x14ac:dyDescent="0.25">
      <c r="A563" s="14" t="str">
        <f t="shared" ca="1" si="8"/>
        <v/>
      </c>
      <c r="D563" s="15" t="str">
        <f>IF(C563="","",VLOOKUP(C563,Tabela1[#All],2,0))</f>
        <v/>
      </c>
      <c r="F563" s="16" t="str" cm="1">
        <f t="array" ref="F563">IF(B563="","",(IF(B563="Compra de estoque","",(_xlfn.IFS(AND(B563="Venda de produtos",H563="Sul/Sudeste"),(VLOOKUP(C563,Tabela1[#All],9,0)*E563),AND(B563="Venda de produtos",H563="Nordeste"),(VLOOKUP(C563,Tabela1[#All],11,0)*E563),AND("Venda de produtos",H563="Norte/Centro-Oeste"),(VLOOKUP(C563,Tabela1[#All],13,0)*E563))))))</f>
        <v/>
      </c>
      <c r="G563" s="16" t="str">
        <f>IF(B563="Compra de estoque",VLOOKUP(C563,Tabela1[#All],4,0)*E563,"")</f>
        <v/>
      </c>
      <c r="H563" s="16"/>
    </row>
    <row r="564" spans="1:8" x14ac:dyDescent="0.25">
      <c r="A564" s="14" t="str">
        <f t="shared" ca="1" si="8"/>
        <v/>
      </c>
      <c r="D564" s="15" t="str">
        <f>IF(C564="","",VLOOKUP(C564,Tabela1[#All],2,0))</f>
        <v/>
      </c>
      <c r="F564" s="16" t="str" cm="1">
        <f t="array" ref="F564">IF(B564="","",(IF(B564="Compra de estoque","",(_xlfn.IFS(AND(B564="Venda de produtos",H564="Sul/Sudeste"),(VLOOKUP(C564,Tabela1[#All],9,0)*E564),AND(B564="Venda de produtos",H564="Nordeste"),(VLOOKUP(C564,Tabela1[#All],11,0)*E564),AND("Venda de produtos",H564="Norte/Centro-Oeste"),(VLOOKUP(C564,Tabela1[#All],13,0)*E564))))))</f>
        <v/>
      </c>
      <c r="G564" s="16" t="str">
        <f>IF(B564="Compra de estoque",VLOOKUP(C564,Tabela1[#All],4,0)*E564,"")</f>
        <v/>
      </c>
      <c r="H564" s="16"/>
    </row>
    <row r="565" spans="1:8" x14ac:dyDescent="0.25">
      <c r="A565" s="14" t="str">
        <f t="shared" ca="1" si="8"/>
        <v/>
      </c>
      <c r="D565" s="15" t="str">
        <f>IF(C565="","",VLOOKUP(C565,Tabela1[#All],2,0))</f>
        <v/>
      </c>
      <c r="F565" s="16" t="str" cm="1">
        <f t="array" ref="F565">IF(B565="","",(IF(B565="Compra de estoque","",(_xlfn.IFS(AND(B565="Venda de produtos",H565="Sul/Sudeste"),(VLOOKUP(C565,Tabela1[#All],9,0)*E565),AND(B565="Venda de produtos",H565="Nordeste"),(VLOOKUP(C565,Tabela1[#All],11,0)*E565),AND("Venda de produtos",H565="Norte/Centro-Oeste"),(VLOOKUP(C565,Tabela1[#All],13,0)*E565))))))</f>
        <v/>
      </c>
      <c r="G565" s="16" t="str">
        <f>IF(B565="Compra de estoque",VLOOKUP(C565,Tabela1[#All],4,0)*E565,"")</f>
        <v/>
      </c>
      <c r="H565" s="16"/>
    </row>
    <row r="566" spans="1:8" x14ac:dyDescent="0.25">
      <c r="A566" s="14" t="str">
        <f t="shared" ca="1" si="8"/>
        <v/>
      </c>
      <c r="D566" s="15" t="str">
        <f>IF(C566="","",VLOOKUP(C566,Tabela1[#All],2,0))</f>
        <v/>
      </c>
      <c r="F566" s="16" t="str" cm="1">
        <f t="array" ref="F566">IF(B566="","",(IF(B566="Compra de estoque","",(_xlfn.IFS(AND(B566="Venda de produtos",H566="Sul/Sudeste"),(VLOOKUP(C566,Tabela1[#All],9,0)*E566),AND(B566="Venda de produtos",H566="Nordeste"),(VLOOKUP(C566,Tabela1[#All],11,0)*E566),AND("Venda de produtos",H566="Norte/Centro-Oeste"),(VLOOKUP(C566,Tabela1[#All],13,0)*E566))))))</f>
        <v/>
      </c>
      <c r="G566" s="16" t="str">
        <f>IF(B566="Compra de estoque",VLOOKUP(C566,Tabela1[#All],4,0)*E566,"")</f>
        <v/>
      </c>
      <c r="H566" s="16"/>
    </row>
    <row r="567" spans="1:8" x14ac:dyDescent="0.25">
      <c r="A567" s="14" t="str">
        <f t="shared" ca="1" si="8"/>
        <v/>
      </c>
      <c r="D567" s="15" t="str">
        <f>IF(C567="","",VLOOKUP(C567,Tabela1[#All],2,0))</f>
        <v/>
      </c>
      <c r="F567" s="16" t="str" cm="1">
        <f t="array" ref="F567">IF(B567="","",(IF(B567="Compra de estoque","",(_xlfn.IFS(AND(B567="Venda de produtos",H567="Sul/Sudeste"),(VLOOKUP(C567,Tabela1[#All],9,0)*E567),AND(B567="Venda de produtos",H567="Nordeste"),(VLOOKUP(C567,Tabela1[#All],11,0)*E567),AND("Venda de produtos",H567="Norte/Centro-Oeste"),(VLOOKUP(C567,Tabela1[#All],13,0)*E567))))))</f>
        <v/>
      </c>
      <c r="G567" s="16" t="str">
        <f>IF(B567="Compra de estoque",VLOOKUP(C567,Tabela1[#All],4,0)*E567,"")</f>
        <v/>
      </c>
      <c r="H567" s="16"/>
    </row>
    <row r="568" spans="1:8" x14ac:dyDescent="0.25">
      <c r="A568" s="14" t="str">
        <f t="shared" ca="1" si="8"/>
        <v/>
      </c>
      <c r="D568" s="15" t="str">
        <f>IF(C568="","",VLOOKUP(C568,Tabela1[#All],2,0))</f>
        <v/>
      </c>
      <c r="F568" s="16" t="str" cm="1">
        <f t="array" ref="F568">IF(B568="","",(IF(B568="Compra de estoque","",(_xlfn.IFS(AND(B568="Venda de produtos",H568="Sul/Sudeste"),(VLOOKUP(C568,Tabela1[#All],9,0)*E568),AND(B568="Venda de produtos",H568="Nordeste"),(VLOOKUP(C568,Tabela1[#All],11,0)*E568),AND("Venda de produtos",H568="Norte/Centro-Oeste"),(VLOOKUP(C568,Tabela1[#All],13,0)*E568))))))</f>
        <v/>
      </c>
      <c r="G568" s="16" t="str">
        <f>IF(B568="Compra de estoque",VLOOKUP(C568,Tabela1[#All],4,0)*E568,"")</f>
        <v/>
      </c>
      <c r="H568" s="16"/>
    </row>
    <row r="569" spans="1:8" x14ac:dyDescent="0.25">
      <c r="A569" s="14" t="str">
        <f t="shared" ca="1" si="8"/>
        <v/>
      </c>
      <c r="D569" s="15" t="str">
        <f>IF(C569="","",VLOOKUP(C569,Tabela1[#All],2,0))</f>
        <v/>
      </c>
      <c r="F569" s="16" t="str" cm="1">
        <f t="array" ref="F569">IF(B569="","",(IF(B569="Compra de estoque","",(_xlfn.IFS(AND(B569="Venda de produtos",H569="Sul/Sudeste"),(VLOOKUP(C569,Tabela1[#All],9,0)*E569),AND(B569="Venda de produtos",H569="Nordeste"),(VLOOKUP(C569,Tabela1[#All],11,0)*E569),AND("Venda de produtos",H569="Norte/Centro-Oeste"),(VLOOKUP(C569,Tabela1[#All],13,0)*E569))))))</f>
        <v/>
      </c>
      <c r="G569" s="16" t="str">
        <f>IF(B569="Compra de estoque",VLOOKUP(C569,Tabela1[#All],4,0)*E569,"")</f>
        <v/>
      </c>
      <c r="H569" s="16"/>
    </row>
    <row r="570" spans="1:8" x14ac:dyDescent="0.25">
      <c r="A570" s="14" t="str">
        <f t="shared" ca="1" si="8"/>
        <v/>
      </c>
      <c r="D570" s="15" t="str">
        <f>IF(C570="","",VLOOKUP(C570,Tabela1[#All],2,0))</f>
        <v/>
      </c>
      <c r="F570" s="16" t="str" cm="1">
        <f t="array" ref="F570">IF(B570="","",(IF(B570="Compra de estoque","",(_xlfn.IFS(AND(B570="Venda de produtos",H570="Sul/Sudeste"),(VLOOKUP(C570,Tabela1[#All],9,0)*E570),AND(B570="Venda de produtos",H570="Nordeste"),(VLOOKUP(C570,Tabela1[#All],11,0)*E570),AND("Venda de produtos",H570="Norte/Centro-Oeste"),(VLOOKUP(C570,Tabela1[#All],13,0)*E570))))))</f>
        <v/>
      </c>
      <c r="G570" s="16" t="str">
        <f>IF(B570="Compra de estoque",VLOOKUP(C570,Tabela1[#All],4,0)*E570,"")</f>
        <v/>
      </c>
      <c r="H570" s="16"/>
    </row>
    <row r="571" spans="1:8" x14ac:dyDescent="0.25">
      <c r="A571" s="14" t="str">
        <f t="shared" ca="1" si="8"/>
        <v/>
      </c>
      <c r="D571" s="15" t="str">
        <f>IF(C571="","",VLOOKUP(C571,Tabela1[#All],2,0))</f>
        <v/>
      </c>
      <c r="F571" s="16" t="str" cm="1">
        <f t="array" ref="F571">IF(B571="","",(IF(B571="Compra de estoque","",(_xlfn.IFS(AND(B571="Venda de produtos",H571="Sul/Sudeste"),(VLOOKUP(C571,Tabela1[#All],9,0)*E571),AND(B571="Venda de produtos",H571="Nordeste"),(VLOOKUP(C571,Tabela1[#All],11,0)*E571),AND("Venda de produtos",H571="Norte/Centro-Oeste"),(VLOOKUP(C571,Tabela1[#All],13,0)*E571))))))</f>
        <v/>
      </c>
      <c r="G571" s="16" t="str">
        <f>IF(B571="Compra de estoque",VLOOKUP(C571,Tabela1[#All],4,0)*E571,"")</f>
        <v/>
      </c>
      <c r="H571" s="16"/>
    </row>
    <row r="572" spans="1:8" x14ac:dyDescent="0.25">
      <c r="A572" s="14" t="str">
        <f t="shared" ca="1" si="8"/>
        <v/>
      </c>
      <c r="D572" s="15" t="str">
        <f>IF(C572="","",VLOOKUP(C572,Tabela1[#All],2,0))</f>
        <v/>
      </c>
      <c r="F572" s="16" t="str" cm="1">
        <f t="array" ref="F572">IF(B572="","",(IF(B572="Compra de estoque","",(_xlfn.IFS(AND(B572="Venda de produtos",H572="Sul/Sudeste"),(VLOOKUP(C572,Tabela1[#All],9,0)*E572),AND(B572="Venda de produtos",H572="Nordeste"),(VLOOKUP(C572,Tabela1[#All],11,0)*E572),AND("Venda de produtos",H572="Norte/Centro-Oeste"),(VLOOKUP(C572,Tabela1[#All],13,0)*E572))))))</f>
        <v/>
      </c>
      <c r="G572" s="16" t="str">
        <f>IF(B572="Compra de estoque",VLOOKUP(C572,Tabela1[#All],4,0)*E572,"")</f>
        <v/>
      </c>
      <c r="H572" s="16"/>
    </row>
    <row r="573" spans="1:8" x14ac:dyDescent="0.25">
      <c r="A573" s="14" t="str">
        <f t="shared" ca="1" si="8"/>
        <v/>
      </c>
      <c r="D573" s="15" t="str">
        <f>IF(C573="","",VLOOKUP(C573,Tabela1[#All],2,0))</f>
        <v/>
      </c>
      <c r="F573" s="16" t="str" cm="1">
        <f t="array" ref="F573">IF(B573="","",(IF(B573="Compra de estoque","",(_xlfn.IFS(AND(B573="Venda de produtos",H573="Sul/Sudeste"),(VLOOKUP(C573,Tabela1[#All],9,0)*E573),AND(B573="Venda de produtos",H573="Nordeste"),(VLOOKUP(C573,Tabela1[#All],11,0)*E573),AND("Venda de produtos",H573="Norte/Centro-Oeste"),(VLOOKUP(C573,Tabela1[#All],13,0)*E573))))))</f>
        <v/>
      </c>
      <c r="G573" s="16" t="str">
        <f>IF(B573="Compra de estoque",VLOOKUP(C573,Tabela1[#All],4,0)*E573,"")</f>
        <v/>
      </c>
      <c r="H573" s="16"/>
    </row>
    <row r="574" spans="1:8" x14ac:dyDescent="0.25">
      <c r="A574" s="14" t="str">
        <f t="shared" ca="1" si="8"/>
        <v/>
      </c>
      <c r="D574" s="15" t="str">
        <f>IF(C574="","",VLOOKUP(C574,Tabela1[#All],2,0))</f>
        <v/>
      </c>
      <c r="F574" s="16" t="str" cm="1">
        <f t="array" ref="F574">IF(B574="","",(IF(B574="Compra de estoque","",(_xlfn.IFS(AND(B574="Venda de produtos",H574="Sul/Sudeste"),(VLOOKUP(C574,Tabela1[#All],9,0)*E574),AND(B574="Venda de produtos",H574="Nordeste"),(VLOOKUP(C574,Tabela1[#All],11,0)*E574),AND("Venda de produtos",H574="Norte/Centro-Oeste"),(VLOOKUP(C574,Tabela1[#All],13,0)*E574))))))</f>
        <v/>
      </c>
      <c r="G574" s="16" t="str">
        <f>IF(B574="Compra de estoque",VLOOKUP(C574,Tabela1[#All],4,0)*E574,"")</f>
        <v/>
      </c>
      <c r="H574" s="16"/>
    </row>
    <row r="575" spans="1:8" x14ac:dyDescent="0.25">
      <c r="A575" s="14" t="str">
        <f t="shared" ca="1" si="8"/>
        <v/>
      </c>
      <c r="D575" s="15" t="str">
        <f>IF(C575="","",VLOOKUP(C575,Tabela1[#All],2,0))</f>
        <v/>
      </c>
      <c r="F575" s="16" t="str" cm="1">
        <f t="array" ref="F575">IF(B575="","",(IF(B575="Compra de estoque","",(_xlfn.IFS(AND(B575="Venda de produtos",H575="Sul/Sudeste"),(VLOOKUP(C575,Tabela1[#All],9,0)*E575),AND(B575="Venda de produtos",H575="Nordeste"),(VLOOKUP(C575,Tabela1[#All],11,0)*E575),AND("Venda de produtos",H575="Norte/Centro-Oeste"),(VLOOKUP(C575,Tabela1[#All],13,0)*E575))))))</f>
        <v/>
      </c>
      <c r="G575" s="16" t="str">
        <f>IF(B575="Compra de estoque",VLOOKUP(C575,Tabela1[#All],4,0)*E575,"")</f>
        <v/>
      </c>
      <c r="H575" s="16"/>
    </row>
    <row r="576" spans="1:8" x14ac:dyDescent="0.25">
      <c r="A576" s="14" t="str">
        <f t="shared" ca="1" si="8"/>
        <v/>
      </c>
      <c r="D576" s="15" t="str">
        <f>IF(C576="","",VLOOKUP(C576,Tabela1[#All],2,0))</f>
        <v/>
      </c>
      <c r="F576" s="16" t="str" cm="1">
        <f t="array" ref="F576">IF(B576="","",(IF(B576="Compra de estoque","",(_xlfn.IFS(AND(B576="Venda de produtos",H576="Sul/Sudeste"),(VLOOKUP(C576,Tabela1[#All],9,0)*E576),AND(B576="Venda de produtos",H576="Nordeste"),(VLOOKUP(C576,Tabela1[#All],11,0)*E576),AND("Venda de produtos",H576="Norte/Centro-Oeste"),(VLOOKUP(C576,Tabela1[#All],13,0)*E576))))))</f>
        <v/>
      </c>
      <c r="G576" s="16" t="str">
        <f>IF(B576="Compra de estoque",VLOOKUP(C576,Tabela1[#All],4,0)*E576,"")</f>
        <v/>
      </c>
      <c r="H576" s="16"/>
    </row>
    <row r="577" spans="1:8" x14ac:dyDescent="0.25">
      <c r="A577" s="14" t="str">
        <f t="shared" ca="1" si="8"/>
        <v/>
      </c>
      <c r="D577" s="15" t="str">
        <f>IF(C577="","",VLOOKUP(C577,Tabela1[#All],2,0))</f>
        <v/>
      </c>
      <c r="F577" s="16" t="str" cm="1">
        <f t="array" ref="F577">IF(B577="","",(IF(B577="Compra de estoque","",(_xlfn.IFS(AND(B577="Venda de produtos",H577="Sul/Sudeste"),(VLOOKUP(C577,Tabela1[#All],9,0)*E577),AND(B577="Venda de produtos",H577="Nordeste"),(VLOOKUP(C577,Tabela1[#All],11,0)*E577),AND("Venda de produtos",H577="Norte/Centro-Oeste"),(VLOOKUP(C577,Tabela1[#All],13,0)*E577))))))</f>
        <v/>
      </c>
      <c r="G577" s="16" t="str">
        <f>IF(B577="Compra de estoque",VLOOKUP(C577,Tabela1[#All],4,0)*E577,"")</f>
        <v/>
      </c>
      <c r="H577" s="16"/>
    </row>
    <row r="578" spans="1:8" x14ac:dyDescent="0.25">
      <c r="A578" s="14" t="str">
        <f t="shared" ca="1" si="8"/>
        <v/>
      </c>
      <c r="D578" s="15" t="str">
        <f>IF(C578="","",VLOOKUP(C578,Tabela1[#All],2,0))</f>
        <v/>
      </c>
      <c r="F578" s="16" t="str" cm="1">
        <f t="array" ref="F578">IF(B578="","",(IF(B578="Compra de estoque","",(_xlfn.IFS(AND(B578="Venda de produtos",H578="Sul/Sudeste"),(VLOOKUP(C578,Tabela1[#All],9,0)*E578),AND(B578="Venda de produtos",H578="Nordeste"),(VLOOKUP(C578,Tabela1[#All],11,0)*E578),AND("Venda de produtos",H578="Norte/Centro-Oeste"),(VLOOKUP(C578,Tabela1[#All],13,0)*E578))))))</f>
        <v/>
      </c>
      <c r="G578" s="16" t="str">
        <f>IF(B578="Compra de estoque",VLOOKUP(C578,Tabela1[#All],4,0)*E578,"")</f>
        <v/>
      </c>
      <c r="H578" s="16"/>
    </row>
    <row r="579" spans="1:8" x14ac:dyDescent="0.25">
      <c r="A579" s="14" t="str">
        <f t="shared" ref="A579:A642" ca="1" si="9">IF(C579="","",NOW())</f>
        <v/>
      </c>
      <c r="D579" s="15" t="str">
        <f>IF(C579="","",VLOOKUP(C579,Tabela1[#All],2,0))</f>
        <v/>
      </c>
      <c r="F579" s="16" t="str" cm="1">
        <f t="array" ref="F579">IF(B579="","",(IF(B579="Compra de estoque","",(_xlfn.IFS(AND(B579="Venda de produtos",H579="Sul/Sudeste"),(VLOOKUP(C579,Tabela1[#All],9,0)*E579),AND(B579="Venda de produtos",H579="Nordeste"),(VLOOKUP(C579,Tabela1[#All],11,0)*E579),AND("Venda de produtos",H579="Norte/Centro-Oeste"),(VLOOKUP(C579,Tabela1[#All],13,0)*E579))))))</f>
        <v/>
      </c>
      <c r="G579" s="16" t="str">
        <f>IF(B579="Compra de estoque",VLOOKUP(C579,Tabela1[#All],4,0)*E579,"")</f>
        <v/>
      </c>
      <c r="H579" s="16"/>
    </row>
    <row r="580" spans="1:8" x14ac:dyDescent="0.25">
      <c r="A580" s="14" t="str">
        <f t="shared" ca="1" si="9"/>
        <v/>
      </c>
      <c r="D580" s="15" t="str">
        <f>IF(C580="","",VLOOKUP(C580,Tabela1[#All],2,0))</f>
        <v/>
      </c>
      <c r="F580" s="16" t="str" cm="1">
        <f t="array" ref="F580">IF(B580="","",(IF(B580="Compra de estoque","",(_xlfn.IFS(AND(B580="Venda de produtos",H580="Sul/Sudeste"),(VLOOKUP(C580,Tabela1[#All],9,0)*E580),AND(B580="Venda de produtos",H580="Nordeste"),(VLOOKUP(C580,Tabela1[#All],11,0)*E580),AND("Venda de produtos",H580="Norte/Centro-Oeste"),(VLOOKUP(C580,Tabela1[#All],13,0)*E580))))))</f>
        <v/>
      </c>
      <c r="G580" s="16" t="str">
        <f>IF(B580="Compra de estoque",VLOOKUP(C580,Tabela1[#All],4,0)*E580,"")</f>
        <v/>
      </c>
      <c r="H580" s="16"/>
    </row>
    <row r="581" spans="1:8" x14ac:dyDescent="0.25">
      <c r="A581" s="14" t="str">
        <f t="shared" ca="1" si="9"/>
        <v/>
      </c>
      <c r="D581" s="15" t="str">
        <f>IF(C581="","",VLOOKUP(C581,Tabela1[#All],2,0))</f>
        <v/>
      </c>
      <c r="F581" s="16" t="str" cm="1">
        <f t="array" ref="F581">IF(B581="","",(IF(B581="Compra de estoque","",(_xlfn.IFS(AND(B581="Venda de produtos",H581="Sul/Sudeste"),(VLOOKUP(C581,Tabela1[#All],9,0)*E581),AND(B581="Venda de produtos",H581="Nordeste"),(VLOOKUP(C581,Tabela1[#All],11,0)*E581),AND("Venda de produtos",H581="Norte/Centro-Oeste"),(VLOOKUP(C581,Tabela1[#All],13,0)*E581))))))</f>
        <v/>
      </c>
      <c r="G581" s="16" t="str">
        <f>IF(B581="Compra de estoque",VLOOKUP(C581,Tabela1[#All],4,0)*E581,"")</f>
        <v/>
      </c>
      <c r="H581" s="16"/>
    </row>
    <row r="582" spans="1:8" x14ac:dyDescent="0.25">
      <c r="A582" s="14" t="str">
        <f t="shared" ca="1" si="9"/>
        <v/>
      </c>
      <c r="D582" s="15" t="str">
        <f>IF(C582="","",VLOOKUP(C582,Tabela1[#All],2,0))</f>
        <v/>
      </c>
      <c r="F582" s="16" t="str" cm="1">
        <f t="array" ref="F582">IF(B582="","",(IF(B582="Compra de estoque","",(_xlfn.IFS(AND(B582="Venda de produtos",H582="Sul/Sudeste"),(VLOOKUP(C582,Tabela1[#All],9,0)*E582),AND(B582="Venda de produtos",H582="Nordeste"),(VLOOKUP(C582,Tabela1[#All],11,0)*E582),AND("Venda de produtos",H582="Norte/Centro-Oeste"),(VLOOKUP(C582,Tabela1[#All],13,0)*E582))))))</f>
        <v/>
      </c>
      <c r="G582" s="16" t="str">
        <f>IF(B582="Compra de estoque",VLOOKUP(C582,Tabela1[#All],4,0)*E582,"")</f>
        <v/>
      </c>
      <c r="H582" s="16"/>
    </row>
    <row r="583" spans="1:8" x14ac:dyDescent="0.25">
      <c r="A583" s="14" t="str">
        <f t="shared" ca="1" si="9"/>
        <v/>
      </c>
      <c r="D583" s="15" t="str">
        <f>IF(C583="","",VLOOKUP(C583,Tabela1[#All],2,0))</f>
        <v/>
      </c>
      <c r="F583" s="16" t="str" cm="1">
        <f t="array" ref="F583">IF(B583="","",(IF(B583="Compra de estoque","",(_xlfn.IFS(AND(B583="Venda de produtos",H583="Sul/Sudeste"),(VLOOKUP(C583,Tabela1[#All],9,0)*E583),AND(B583="Venda de produtos",H583="Nordeste"),(VLOOKUP(C583,Tabela1[#All],11,0)*E583),AND("Venda de produtos",H583="Norte/Centro-Oeste"),(VLOOKUP(C583,Tabela1[#All],13,0)*E583))))))</f>
        <v/>
      </c>
      <c r="G583" s="16" t="str">
        <f>IF(B583="Compra de estoque",VLOOKUP(C583,Tabela1[#All],4,0)*E583,"")</f>
        <v/>
      </c>
      <c r="H583" s="16"/>
    </row>
    <row r="584" spans="1:8" x14ac:dyDescent="0.25">
      <c r="A584" s="14" t="str">
        <f t="shared" ca="1" si="9"/>
        <v/>
      </c>
      <c r="D584" s="15" t="str">
        <f>IF(C584="","",VLOOKUP(C584,Tabela1[#All],2,0))</f>
        <v/>
      </c>
      <c r="F584" s="16" t="str" cm="1">
        <f t="array" ref="F584">IF(B584="","",(IF(B584="Compra de estoque","",(_xlfn.IFS(AND(B584="Venda de produtos",H584="Sul/Sudeste"),(VLOOKUP(C584,Tabela1[#All],9,0)*E584),AND(B584="Venda de produtos",H584="Nordeste"),(VLOOKUP(C584,Tabela1[#All],11,0)*E584),AND("Venda de produtos",H584="Norte/Centro-Oeste"),(VLOOKUP(C584,Tabela1[#All],13,0)*E584))))))</f>
        <v/>
      </c>
      <c r="G584" s="16" t="str">
        <f>IF(B584="Compra de estoque",VLOOKUP(C584,Tabela1[#All],4,0)*E584,"")</f>
        <v/>
      </c>
      <c r="H584" s="16"/>
    </row>
    <row r="585" spans="1:8" x14ac:dyDescent="0.25">
      <c r="A585" s="14" t="str">
        <f t="shared" ca="1" si="9"/>
        <v/>
      </c>
      <c r="D585" s="15" t="str">
        <f>IF(C585="","",VLOOKUP(C585,Tabela1[#All],2,0))</f>
        <v/>
      </c>
      <c r="F585" s="16" t="str" cm="1">
        <f t="array" ref="F585">IF(B585="","",(IF(B585="Compra de estoque","",(_xlfn.IFS(AND(B585="Venda de produtos",H585="Sul/Sudeste"),(VLOOKUP(C585,Tabela1[#All],9,0)*E585),AND(B585="Venda de produtos",H585="Nordeste"),(VLOOKUP(C585,Tabela1[#All],11,0)*E585),AND("Venda de produtos",H585="Norte/Centro-Oeste"),(VLOOKUP(C585,Tabela1[#All],13,0)*E585))))))</f>
        <v/>
      </c>
      <c r="G585" s="16" t="str">
        <f>IF(B585="Compra de estoque",VLOOKUP(C585,Tabela1[#All],4,0)*E585,"")</f>
        <v/>
      </c>
      <c r="H585" s="16"/>
    </row>
    <row r="586" spans="1:8" x14ac:dyDescent="0.25">
      <c r="A586" s="14" t="str">
        <f t="shared" ca="1" si="9"/>
        <v/>
      </c>
      <c r="D586" s="15" t="str">
        <f>IF(C586="","",VLOOKUP(C586,Tabela1[#All],2,0))</f>
        <v/>
      </c>
      <c r="F586" s="16" t="str" cm="1">
        <f t="array" ref="F586">IF(B586="","",(IF(B586="Compra de estoque","",(_xlfn.IFS(AND(B586="Venda de produtos",H586="Sul/Sudeste"),(VLOOKUP(C586,Tabela1[#All],9,0)*E586),AND(B586="Venda de produtos",H586="Nordeste"),(VLOOKUP(C586,Tabela1[#All],11,0)*E586),AND("Venda de produtos",H586="Norte/Centro-Oeste"),(VLOOKUP(C586,Tabela1[#All],13,0)*E586))))))</f>
        <v/>
      </c>
      <c r="G586" s="16" t="str">
        <f>IF(B586="Compra de estoque",VLOOKUP(C586,Tabela1[#All],4,0)*E586,"")</f>
        <v/>
      </c>
      <c r="H586" s="16"/>
    </row>
    <row r="587" spans="1:8" x14ac:dyDescent="0.25">
      <c r="A587" s="14" t="str">
        <f t="shared" ca="1" si="9"/>
        <v/>
      </c>
      <c r="D587" s="15" t="str">
        <f>IF(C587="","",VLOOKUP(C587,Tabela1[#All],2,0))</f>
        <v/>
      </c>
      <c r="F587" s="16" t="str" cm="1">
        <f t="array" ref="F587">IF(B587="","",(IF(B587="Compra de estoque","",(_xlfn.IFS(AND(B587="Venda de produtos",H587="Sul/Sudeste"),(VLOOKUP(C587,Tabela1[#All],9,0)*E587),AND(B587="Venda de produtos",H587="Nordeste"),(VLOOKUP(C587,Tabela1[#All],11,0)*E587),AND("Venda de produtos",H587="Norte/Centro-Oeste"),(VLOOKUP(C587,Tabela1[#All],13,0)*E587))))))</f>
        <v/>
      </c>
      <c r="G587" s="16" t="str">
        <f>IF(B587="Compra de estoque",VLOOKUP(C587,Tabela1[#All],4,0)*E587,"")</f>
        <v/>
      </c>
      <c r="H587" s="16"/>
    </row>
    <row r="588" spans="1:8" x14ac:dyDescent="0.25">
      <c r="A588" s="14" t="str">
        <f t="shared" ca="1" si="9"/>
        <v/>
      </c>
      <c r="D588" s="15" t="str">
        <f>IF(C588="","",VLOOKUP(C588,Tabela1[#All],2,0))</f>
        <v/>
      </c>
      <c r="F588" s="16" t="str" cm="1">
        <f t="array" ref="F588">IF(B588="","",(IF(B588="Compra de estoque","",(_xlfn.IFS(AND(B588="Venda de produtos",H588="Sul/Sudeste"),(VLOOKUP(C588,Tabela1[#All],9,0)*E588),AND(B588="Venda de produtos",H588="Nordeste"),(VLOOKUP(C588,Tabela1[#All],11,0)*E588),AND("Venda de produtos",H588="Norte/Centro-Oeste"),(VLOOKUP(C588,Tabela1[#All],13,0)*E588))))))</f>
        <v/>
      </c>
      <c r="G588" s="16" t="str">
        <f>IF(B588="Compra de estoque",VLOOKUP(C588,Tabela1[#All],4,0)*E588,"")</f>
        <v/>
      </c>
      <c r="H588" s="16"/>
    </row>
    <row r="589" spans="1:8" x14ac:dyDescent="0.25">
      <c r="A589" s="14" t="str">
        <f t="shared" ca="1" si="9"/>
        <v/>
      </c>
      <c r="D589" s="15" t="str">
        <f>IF(C589="","",VLOOKUP(C589,Tabela1[#All],2,0))</f>
        <v/>
      </c>
      <c r="F589" s="16" t="str" cm="1">
        <f t="array" ref="F589">IF(B589="","",(IF(B589="Compra de estoque","",(_xlfn.IFS(AND(B589="Venda de produtos",H589="Sul/Sudeste"),(VLOOKUP(C589,Tabela1[#All],9,0)*E589),AND(B589="Venda de produtos",H589="Nordeste"),(VLOOKUP(C589,Tabela1[#All],11,0)*E589),AND("Venda de produtos",H589="Norte/Centro-Oeste"),(VLOOKUP(C589,Tabela1[#All],13,0)*E589))))))</f>
        <v/>
      </c>
      <c r="G589" s="16" t="str">
        <f>IF(B589="Compra de estoque",VLOOKUP(C589,Tabela1[#All],4,0)*E589,"")</f>
        <v/>
      </c>
      <c r="H589" s="16"/>
    </row>
    <row r="590" spans="1:8" x14ac:dyDescent="0.25">
      <c r="A590" s="14" t="str">
        <f t="shared" ca="1" si="9"/>
        <v/>
      </c>
      <c r="D590" s="15" t="str">
        <f>IF(C590="","",VLOOKUP(C590,Tabela1[#All],2,0))</f>
        <v/>
      </c>
      <c r="F590" s="16" t="str" cm="1">
        <f t="array" ref="F590">IF(B590="","",(IF(B590="Compra de estoque","",(_xlfn.IFS(AND(B590="Venda de produtos",H590="Sul/Sudeste"),(VLOOKUP(C590,Tabela1[#All],9,0)*E590),AND(B590="Venda de produtos",H590="Nordeste"),(VLOOKUP(C590,Tabela1[#All],11,0)*E590),AND("Venda de produtos",H590="Norte/Centro-Oeste"),(VLOOKUP(C590,Tabela1[#All],13,0)*E590))))))</f>
        <v/>
      </c>
      <c r="G590" s="16" t="str">
        <f>IF(B590="Compra de estoque",VLOOKUP(C590,Tabela1[#All],4,0)*E590,"")</f>
        <v/>
      </c>
      <c r="H590" s="16"/>
    </row>
    <row r="591" spans="1:8" x14ac:dyDescent="0.25">
      <c r="A591" s="14" t="str">
        <f t="shared" ca="1" si="9"/>
        <v/>
      </c>
      <c r="D591" s="15" t="str">
        <f>IF(C591="","",VLOOKUP(C591,Tabela1[#All],2,0))</f>
        <v/>
      </c>
      <c r="F591" s="16" t="str" cm="1">
        <f t="array" ref="F591">IF(B591="","",(IF(B591="Compra de estoque","",(_xlfn.IFS(AND(B591="Venda de produtos",H591="Sul/Sudeste"),(VLOOKUP(C591,Tabela1[#All],9,0)*E591),AND(B591="Venda de produtos",H591="Nordeste"),(VLOOKUP(C591,Tabela1[#All],11,0)*E591),AND("Venda de produtos",H591="Norte/Centro-Oeste"),(VLOOKUP(C591,Tabela1[#All],13,0)*E591))))))</f>
        <v/>
      </c>
      <c r="G591" s="16" t="str">
        <f>IF(B591="Compra de estoque",VLOOKUP(C591,Tabela1[#All],4,0)*E591,"")</f>
        <v/>
      </c>
      <c r="H591" s="16"/>
    </row>
    <row r="592" spans="1:8" x14ac:dyDescent="0.25">
      <c r="A592" s="14" t="str">
        <f t="shared" ca="1" si="9"/>
        <v/>
      </c>
      <c r="D592" s="15" t="str">
        <f>IF(C592="","",VLOOKUP(C592,Tabela1[#All],2,0))</f>
        <v/>
      </c>
      <c r="F592" s="16" t="str" cm="1">
        <f t="array" ref="F592">IF(B592="","",(IF(B592="Compra de estoque","",(_xlfn.IFS(AND(B592="Venda de produtos",H592="Sul/Sudeste"),(VLOOKUP(C592,Tabela1[#All],9,0)*E592),AND(B592="Venda de produtos",H592="Nordeste"),(VLOOKUP(C592,Tabela1[#All],11,0)*E592),AND("Venda de produtos",H592="Norte/Centro-Oeste"),(VLOOKUP(C592,Tabela1[#All],13,0)*E592))))))</f>
        <v/>
      </c>
      <c r="G592" s="16" t="str">
        <f>IF(B592="Compra de estoque",VLOOKUP(C592,Tabela1[#All],4,0)*E592,"")</f>
        <v/>
      </c>
      <c r="H592" s="16"/>
    </row>
    <row r="593" spans="1:8" x14ac:dyDescent="0.25">
      <c r="A593" s="14" t="str">
        <f t="shared" ca="1" si="9"/>
        <v/>
      </c>
      <c r="D593" s="15" t="str">
        <f>IF(C593="","",VLOOKUP(C593,Tabela1[#All],2,0))</f>
        <v/>
      </c>
      <c r="F593" s="16" t="str" cm="1">
        <f t="array" ref="F593">IF(B593="","",(IF(B593="Compra de estoque","",(_xlfn.IFS(AND(B593="Venda de produtos",H593="Sul/Sudeste"),(VLOOKUP(C593,Tabela1[#All],9,0)*E593),AND(B593="Venda de produtos",H593="Nordeste"),(VLOOKUP(C593,Tabela1[#All],11,0)*E593),AND("Venda de produtos",H593="Norte/Centro-Oeste"),(VLOOKUP(C593,Tabela1[#All],13,0)*E593))))))</f>
        <v/>
      </c>
      <c r="G593" s="16" t="str">
        <f>IF(B593="Compra de estoque",VLOOKUP(C593,Tabela1[#All],4,0)*E593,"")</f>
        <v/>
      </c>
      <c r="H593" s="16"/>
    </row>
    <row r="594" spans="1:8" x14ac:dyDescent="0.25">
      <c r="A594" s="14" t="str">
        <f t="shared" ca="1" si="9"/>
        <v/>
      </c>
      <c r="D594" s="15" t="str">
        <f>IF(C594="","",VLOOKUP(C594,Tabela1[#All],2,0))</f>
        <v/>
      </c>
      <c r="F594" s="16" t="str" cm="1">
        <f t="array" ref="F594">IF(B594="","",(IF(B594="Compra de estoque","",(_xlfn.IFS(AND(B594="Venda de produtos",H594="Sul/Sudeste"),(VLOOKUP(C594,Tabela1[#All],9,0)*E594),AND(B594="Venda de produtos",H594="Nordeste"),(VLOOKUP(C594,Tabela1[#All],11,0)*E594),AND("Venda de produtos",H594="Norte/Centro-Oeste"),(VLOOKUP(C594,Tabela1[#All],13,0)*E594))))))</f>
        <v/>
      </c>
      <c r="G594" s="16" t="str">
        <f>IF(B594="Compra de estoque",VLOOKUP(C594,Tabela1[#All],4,0)*E594,"")</f>
        <v/>
      </c>
      <c r="H594" s="16"/>
    </row>
    <row r="595" spans="1:8" x14ac:dyDescent="0.25">
      <c r="A595" s="14" t="str">
        <f t="shared" ca="1" si="9"/>
        <v/>
      </c>
      <c r="D595" s="15" t="str">
        <f>IF(C595="","",VLOOKUP(C595,Tabela1[#All],2,0))</f>
        <v/>
      </c>
      <c r="F595" s="16" t="str" cm="1">
        <f t="array" ref="F595">IF(B595="","",(IF(B595="Compra de estoque","",(_xlfn.IFS(AND(B595="Venda de produtos",H595="Sul/Sudeste"),(VLOOKUP(C595,Tabela1[#All],9,0)*E595),AND(B595="Venda de produtos",H595="Nordeste"),(VLOOKUP(C595,Tabela1[#All],11,0)*E595),AND("Venda de produtos",H595="Norte/Centro-Oeste"),(VLOOKUP(C595,Tabela1[#All],13,0)*E595))))))</f>
        <v/>
      </c>
      <c r="G595" s="16" t="str">
        <f>IF(B595="Compra de estoque",VLOOKUP(C595,Tabela1[#All],4,0)*E595,"")</f>
        <v/>
      </c>
      <c r="H595" s="16"/>
    </row>
    <row r="596" spans="1:8" x14ac:dyDescent="0.25">
      <c r="A596" s="14" t="str">
        <f t="shared" ca="1" si="9"/>
        <v/>
      </c>
      <c r="D596" s="15" t="str">
        <f>IF(C596="","",VLOOKUP(C596,Tabela1[#All],2,0))</f>
        <v/>
      </c>
      <c r="F596" s="16" t="str" cm="1">
        <f t="array" ref="F596">IF(B596="","",(IF(B596="Compra de estoque","",(_xlfn.IFS(AND(B596="Venda de produtos",H596="Sul/Sudeste"),(VLOOKUP(C596,Tabela1[#All],9,0)*E596),AND(B596="Venda de produtos",H596="Nordeste"),(VLOOKUP(C596,Tabela1[#All],11,0)*E596),AND("Venda de produtos",H596="Norte/Centro-Oeste"),(VLOOKUP(C596,Tabela1[#All],13,0)*E596))))))</f>
        <v/>
      </c>
      <c r="G596" s="16" t="str">
        <f>IF(B596="Compra de estoque",VLOOKUP(C596,Tabela1[#All],4,0)*E596,"")</f>
        <v/>
      </c>
      <c r="H596" s="16"/>
    </row>
    <row r="597" spans="1:8" x14ac:dyDescent="0.25">
      <c r="A597" s="14" t="str">
        <f t="shared" ca="1" si="9"/>
        <v/>
      </c>
      <c r="D597" s="15" t="str">
        <f>IF(C597="","",VLOOKUP(C597,Tabela1[#All],2,0))</f>
        <v/>
      </c>
      <c r="F597" s="16" t="str" cm="1">
        <f t="array" ref="F597">IF(B597="","",(IF(B597="Compra de estoque","",(_xlfn.IFS(AND(B597="Venda de produtos",H597="Sul/Sudeste"),(VLOOKUP(C597,Tabela1[#All],9,0)*E597),AND(B597="Venda de produtos",H597="Nordeste"),(VLOOKUP(C597,Tabela1[#All],11,0)*E597),AND("Venda de produtos",H597="Norte/Centro-Oeste"),(VLOOKUP(C597,Tabela1[#All],13,0)*E597))))))</f>
        <v/>
      </c>
      <c r="G597" s="16" t="str">
        <f>IF(B597="Compra de estoque",VLOOKUP(C597,Tabela1[#All],4,0)*E597,"")</f>
        <v/>
      </c>
      <c r="H597" s="16"/>
    </row>
    <row r="598" spans="1:8" x14ac:dyDescent="0.25">
      <c r="A598" s="14" t="str">
        <f t="shared" ca="1" si="9"/>
        <v/>
      </c>
      <c r="D598" s="15" t="str">
        <f>IF(C598="","",VLOOKUP(C598,Tabela1[#All],2,0))</f>
        <v/>
      </c>
      <c r="F598" s="16" t="str" cm="1">
        <f t="array" ref="F598">IF(B598="","",(IF(B598="Compra de estoque","",(_xlfn.IFS(AND(B598="Venda de produtos",H598="Sul/Sudeste"),(VLOOKUP(C598,Tabela1[#All],9,0)*E598),AND(B598="Venda de produtos",H598="Nordeste"),(VLOOKUP(C598,Tabela1[#All],11,0)*E598),AND("Venda de produtos",H598="Norte/Centro-Oeste"),(VLOOKUP(C598,Tabela1[#All],13,0)*E598))))))</f>
        <v/>
      </c>
      <c r="G598" s="16" t="str">
        <f>IF(B598="Compra de estoque",VLOOKUP(C598,Tabela1[#All],4,0)*E598,"")</f>
        <v/>
      </c>
      <c r="H598" s="16"/>
    </row>
    <row r="599" spans="1:8" x14ac:dyDescent="0.25">
      <c r="A599" s="14" t="str">
        <f t="shared" ca="1" si="9"/>
        <v/>
      </c>
      <c r="D599" s="15" t="str">
        <f>IF(C599="","",VLOOKUP(C599,Tabela1[#All],2,0))</f>
        <v/>
      </c>
      <c r="F599" s="16" t="str" cm="1">
        <f t="array" ref="F599">IF(B599="","",(IF(B599="Compra de estoque","",(_xlfn.IFS(AND(B599="Venda de produtos",H599="Sul/Sudeste"),(VLOOKUP(C599,Tabela1[#All],9,0)*E599),AND(B599="Venda de produtos",H599="Nordeste"),(VLOOKUP(C599,Tabela1[#All],11,0)*E599),AND("Venda de produtos",H599="Norte/Centro-Oeste"),(VLOOKUP(C599,Tabela1[#All],13,0)*E599))))))</f>
        <v/>
      </c>
      <c r="G599" s="16" t="str">
        <f>IF(B599="Compra de estoque",VLOOKUP(C599,Tabela1[#All],4,0)*E599,"")</f>
        <v/>
      </c>
      <c r="H599" s="16"/>
    </row>
    <row r="600" spans="1:8" x14ac:dyDescent="0.25">
      <c r="A600" s="14" t="str">
        <f t="shared" ca="1" si="9"/>
        <v/>
      </c>
      <c r="D600" s="15" t="str">
        <f>IF(C600="","",VLOOKUP(C600,Tabela1[#All],2,0))</f>
        <v/>
      </c>
      <c r="F600" s="16" t="str" cm="1">
        <f t="array" ref="F600">IF(B600="","",(IF(B600="Compra de estoque","",(_xlfn.IFS(AND(B600="Venda de produtos",H600="Sul/Sudeste"),(VLOOKUP(C600,Tabela1[#All],9,0)*E600),AND(B600="Venda de produtos",H600="Nordeste"),(VLOOKUP(C600,Tabela1[#All],11,0)*E600),AND("Venda de produtos",H600="Norte/Centro-Oeste"),(VLOOKUP(C600,Tabela1[#All],13,0)*E600))))))</f>
        <v/>
      </c>
      <c r="G600" s="16" t="str">
        <f>IF(B600="Compra de estoque",VLOOKUP(C600,Tabela1[#All],4,0)*E600,"")</f>
        <v/>
      </c>
      <c r="H600" s="16"/>
    </row>
    <row r="601" spans="1:8" x14ac:dyDescent="0.25">
      <c r="A601" s="14" t="str">
        <f t="shared" ca="1" si="9"/>
        <v/>
      </c>
      <c r="D601" s="15" t="str">
        <f>IF(C601="","",VLOOKUP(C601,Tabela1[#All],2,0))</f>
        <v/>
      </c>
      <c r="F601" s="16" t="str" cm="1">
        <f t="array" ref="F601">IF(B601="","",(IF(B601="Compra de estoque","",(_xlfn.IFS(AND(B601="Venda de produtos",H601="Sul/Sudeste"),(VLOOKUP(C601,Tabela1[#All],9,0)*E601),AND(B601="Venda de produtos",H601="Nordeste"),(VLOOKUP(C601,Tabela1[#All],11,0)*E601),AND("Venda de produtos",H601="Norte/Centro-Oeste"),(VLOOKUP(C601,Tabela1[#All],13,0)*E601))))))</f>
        <v/>
      </c>
      <c r="G601" s="16" t="str">
        <f>IF(B601="Compra de estoque",VLOOKUP(C601,Tabela1[#All],4,0)*E601,"")</f>
        <v/>
      </c>
      <c r="H601" s="16"/>
    </row>
    <row r="602" spans="1:8" x14ac:dyDescent="0.25">
      <c r="A602" s="14" t="str">
        <f t="shared" ca="1" si="9"/>
        <v/>
      </c>
      <c r="D602" s="15" t="str">
        <f>IF(C602="","",VLOOKUP(C602,Tabela1[#All],2,0))</f>
        <v/>
      </c>
      <c r="F602" s="16" t="str" cm="1">
        <f t="array" ref="F602">IF(B602="","",(IF(B602="Compra de estoque","",(_xlfn.IFS(AND(B602="Venda de produtos",H602="Sul/Sudeste"),(VLOOKUP(C602,Tabela1[#All],9,0)*E602),AND(B602="Venda de produtos",H602="Nordeste"),(VLOOKUP(C602,Tabela1[#All],11,0)*E602),AND("Venda de produtos",H602="Norte/Centro-Oeste"),(VLOOKUP(C602,Tabela1[#All],13,0)*E602))))))</f>
        <v/>
      </c>
      <c r="G602" s="16" t="str">
        <f>IF(B602="Compra de estoque",VLOOKUP(C602,Tabela1[#All],4,0)*E602,"")</f>
        <v/>
      </c>
      <c r="H602" s="16"/>
    </row>
    <row r="603" spans="1:8" x14ac:dyDescent="0.25">
      <c r="A603" s="14" t="str">
        <f t="shared" ca="1" si="9"/>
        <v/>
      </c>
      <c r="D603" s="15" t="str">
        <f>IF(C603="","",VLOOKUP(C603,Tabela1[#All],2,0))</f>
        <v/>
      </c>
      <c r="F603" s="16" t="str" cm="1">
        <f t="array" ref="F603">IF(B603="","",(IF(B603="Compra de estoque","",(_xlfn.IFS(AND(B603="Venda de produtos",H603="Sul/Sudeste"),(VLOOKUP(C603,Tabela1[#All],9,0)*E603),AND(B603="Venda de produtos",H603="Nordeste"),(VLOOKUP(C603,Tabela1[#All],11,0)*E603),AND("Venda de produtos",H603="Norte/Centro-Oeste"),(VLOOKUP(C603,Tabela1[#All],13,0)*E603))))))</f>
        <v/>
      </c>
      <c r="G603" s="16" t="str">
        <f>IF(B603="Compra de estoque",VLOOKUP(C603,Tabela1[#All],4,0)*E603,"")</f>
        <v/>
      </c>
      <c r="H603" s="16"/>
    </row>
    <row r="604" spans="1:8" x14ac:dyDescent="0.25">
      <c r="A604" s="14" t="str">
        <f t="shared" ca="1" si="9"/>
        <v/>
      </c>
      <c r="D604" s="15" t="str">
        <f>IF(C604="","",VLOOKUP(C604,Tabela1[#All],2,0))</f>
        <v/>
      </c>
      <c r="F604" s="16" t="str" cm="1">
        <f t="array" ref="F604">IF(B604="","",(IF(B604="Compra de estoque","",(_xlfn.IFS(AND(B604="Venda de produtos",H604="Sul/Sudeste"),(VLOOKUP(C604,Tabela1[#All],9,0)*E604),AND(B604="Venda de produtos",H604="Nordeste"),(VLOOKUP(C604,Tabela1[#All],11,0)*E604),AND("Venda de produtos",H604="Norte/Centro-Oeste"),(VLOOKUP(C604,Tabela1[#All],13,0)*E604))))))</f>
        <v/>
      </c>
      <c r="G604" s="16" t="str">
        <f>IF(B604="Compra de estoque",VLOOKUP(C604,Tabela1[#All],4,0)*E604,"")</f>
        <v/>
      </c>
      <c r="H604" s="16"/>
    </row>
    <row r="605" spans="1:8" x14ac:dyDescent="0.25">
      <c r="A605" s="14" t="str">
        <f t="shared" ca="1" si="9"/>
        <v/>
      </c>
      <c r="D605" s="15" t="str">
        <f>IF(C605="","",VLOOKUP(C605,Tabela1[#All],2,0))</f>
        <v/>
      </c>
      <c r="F605" s="16" t="str" cm="1">
        <f t="array" ref="F605">IF(B605="","",(IF(B605="Compra de estoque","",(_xlfn.IFS(AND(B605="Venda de produtos",H605="Sul/Sudeste"),(VLOOKUP(C605,Tabela1[#All],9,0)*E605),AND(B605="Venda de produtos",H605="Nordeste"),(VLOOKUP(C605,Tabela1[#All],11,0)*E605),AND("Venda de produtos",H605="Norte/Centro-Oeste"),(VLOOKUP(C605,Tabela1[#All],13,0)*E605))))))</f>
        <v/>
      </c>
      <c r="G605" s="16" t="str">
        <f>IF(B605="Compra de estoque",VLOOKUP(C605,Tabela1[#All],4,0)*E605,"")</f>
        <v/>
      </c>
      <c r="H605" s="16"/>
    </row>
    <row r="606" spans="1:8" x14ac:dyDescent="0.25">
      <c r="A606" s="14" t="str">
        <f t="shared" ca="1" si="9"/>
        <v/>
      </c>
      <c r="D606" s="15" t="str">
        <f>IF(C606="","",VLOOKUP(C606,Tabela1[#All],2,0))</f>
        <v/>
      </c>
      <c r="F606" s="16" t="str" cm="1">
        <f t="array" ref="F606">IF(B606="","",(IF(B606="Compra de estoque","",(_xlfn.IFS(AND(B606="Venda de produtos",H606="Sul/Sudeste"),(VLOOKUP(C606,Tabela1[#All],9,0)*E606),AND(B606="Venda de produtos",H606="Nordeste"),(VLOOKUP(C606,Tabela1[#All],11,0)*E606),AND("Venda de produtos",H606="Norte/Centro-Oeste"),(VLOOKUP(C606,Tabela1[#All],13,0)*E606))))))</f>
        <v/>
      </c>
      <c r="G606" s="16" t="str">
        <f>IF(B606="Compra de estoque",VLOOKUP(C606,Tabela1[#All],4,0)*E606,"")</f>
        <v/>
      </c>
      <c r="H606" s="16"/>
    </row>
    <row r="607" spans="1:8" x14ac:dyDescent="0.25">
      <c r="A607" s="14" t="str">
        <f t="shared" ca="1" si="9"/>
        <v/>
      </c>
      <c r="D607" s="15" t="str">
        <f>IF(C607="","",VLOOKUP(C607,Tabela1[#All],2,0))</f>
        <v/>
      </c>
      <c r="F607" s="16" t="str" cm="1">
        <f t="array" ref="F607">IF(B607="","",(IF(B607="Compra de estoque","",(_xlfn.IFS(AND(B607="Venda de produtos",H607="Sul/Sudeste"),(VLOOKUP(C607,Tabela1[#All],9,0)*E607),AND(B607="Venda de produtos",H607="Nordeste"),(VLOOKUP(C607,Tabela1[#All],11,0)*E607),AND("Venda de produtos",H607="Norte/Centro-Oeste"),(VLOOKUP(C607,Tabela1[#All],13,0)*E607))))))</f>
        <v/>
      </c>
      <c r="G607" s="16" t="str">
        <f>IF(B607="Compra de estoque",VLOOKUP(C607,Tabela1[#All],4,0)*E607,"")</f>
        <v/>
      </c>
      <c r="H607" s="16"/>
    </row>
    <row r="608" spans="1:8" x14ac:dyDescent="0.25">
      <c r="A608" s="14" t="str">
        <f t="shared" ca="1" si="9"/>
        <v/>
      </c>
      <c r="D608" s="15" t="str">
        <f>IF(C608="","",VLOOKUP(C608,Tabela1[#All],2,0))</f>
        <v/>
      </c>
      <c r="F608" s="16" t="str" cm="1">
        <f t="array" ref="F608">IF(B608="","",(IF(B608="Compra de estoque","",(_xlfn.IFS(AND(B608="Venda de produtos",H608="Sul/Sudeste"),(VLOOKUP(C608,Tabela1[#All],9,0)*E608),AND(B608="Venda de produtos",H608="Nordeste"),(VLOOKUP(C608,Tabela1[#All],11,0)*E608),AND("Venda de produtos",H608="Norte/Centro-Oeste"),(VLOOKUP(C608,Tabela1[#All],13,0)*E608))))))</f>
        <v/>
      </c>
      <c r="G608" s="16" t="str">
        <f>IF(B608="Compra de estoque",VLOOKUP(C608,Tabela1[#All],4,0)*E608,"")</f>
        <v/>
      </c>
      <c r="H608" s="16"/>
    </row>
    <row r="609" spans="1:8" x14ac:dyDescent="0.25">
      <c r="A609" s="14" t="str">
        <f t="shared" ca="1" si="9"/>
        <v/>
      </c>
      <c r="D609" s="15" t="str">
        <f>IF(C609="","",VLOOKUP(C609,Tabela1[#All],2,0))</f>
        <v/>
      </c>
      <c r="F609" s="16" t="str" cm="1">
        <f t="array" ref="F609">IF(B609="","",(IF(B609="Compra de estoque","",(_xlfn.IFS(AND(B609="Venda de produtos",H609="Sul/Sudeste"),(VLOOKUP(C609,Tabela1[#All],9,0)*E609),AND(B609="Venda de produtos",H609="Nordeste"),(VLOOKUP(C609,Tabela1[#All],11,0)*E609),AND("Venda de produtos",H609="Norte/Centro-Oeste"),(VLOOKUP(C609,Tabela1[#All],13,0)*E609))))))</f>
        <v/>
      </c>
      <c r="G609" s="16" t="str">
        <f>IF(B609="Compra de estoque",VLOOKUP(C609,Tabela1[#All],4,0)*E609,"")</f>
        <v/>
      </c>
      <c r="H609" s="16"/>
    </row>
    <row r="610" spans="1:8" x14ac:dyDescent="0.25">
      <c r="A610" s="14" t="str">
        <f t="shared" ca="1" si="9"/>
        <v/>
      </c>
      <c r="D610" s="15" t="str">
        <f>IF(C610="","",VLOOKUP(C610,Tabela1[#All],2,0))</f>
        <v/>
      </c>
      <c r="F610" s="16" t="str" cm="1">
        <f t="array" ref="F610">IF(B610="","",(IF(B610="Compra de estoque","",(_xlfn.IFS(AND(B610="Venda de produtos",H610="Sul/Sudeste"),(VLOOKUP(C610,Tabela1[#All],9,0)*E610),AND(B610="Venda de produtos",H610="Nordeste"),(VLOOKUP(C610,Tabela1[#All],11,0)*E610),AND("Venda de produtos",H610="Norte/Centro-Oeste"),(VLOOKUP(C610,Tabela1[#All],13,0)*E610))))))</f>
        <v/>
      </c>
      <c r="G610" s="16" t="str">
        <f>IF(B610="Compra de estoque",VLOOKUP(C610,Tabela1[#All],4,0)*E610,"")</f>
        <v/>
      </c>
      <c r="H610" s="16"/>
    </row>
    <row r="611" spans="1:8" x14ac:dyDescent="0.25">
      <c r="A611" s="14" t="str">
        <f t="shared" ca="1" si="9"/>
        <v/>
      </c>
      <c r="D611" s="15" t="str">
        <f>IF(C611="","",VLOOKUP(C611,Tabela1[#All],2,0))</f>
        <v/>
      </c>
      <c r="F611" s="16" t="str" cm="1">
        <f t="array" ref="F611">IF(B611="","",(IF(B611="Compra de estoque","",(_xlfn.IFS(AND(B611="Venda de produtos",H611="Sul/Sudeste"),(VLOOKUP(C611,Tabela1[#All],9,0)*E611),AND(B611="Venda de produtos",H611="Nordeste"),(VLOOKUP(C611,Tabela1[#All],11,0)*E611),AND("Venda de produtos",H611="Norte/Centro-Oeste"),(VLOOKUP(C611,Tabela1[#All],13,0)*E611))))))</f>
        <v/>
      </c>
      <c r="G611" s="16" t="str">
        <f>IF(B611="Compra de estoque",VLOOKUP(C611,Tabela1[#All],4,0)*E611,"")</f>
        <v/>
      </c>
      <c r="H611" s="16"/>
    </row>
    <row r="612" spans="1:8" x14ac:dyDescent="0.25">
      <c r="A612" s="14" t="str">
        <f t="shared" ca="1" si="9"/>
        <v/>
      </c>
      <c r="D612" s="15" t="str">
        <f>IF(C612="","",VLOOKUP(C612,Tabela1[#All],2,0))</f>
        <v/>
      </c>
      <c r="F612" s="16" t="str" cm="1">
        <f t="array" ref="F612">IF(B612="","",(IF(B612="Compra de estoque","",(_xlfn.IFS(AND(B612="Venda de produtos",H612="Sul/Sudeste"),(VLOOKUP(C612,Tabela1[#All],9,0)*E612),AND(B612="Venda de produtos",H612="Nordeste"),(VLOOKUP(C612,Tabela1[#All],11,0)*E612),AND("Venda de produtos",H612="Norte/Centro-Oeste"),(VLOOKUP(C612,Tabela1[#All],13,0)*E612))))))</f>
        <v/>
      </c>
      <c r="G612" s="16" t="str">
        <f>IF(B612="Compra de estoque",VLOOKUP(C612,Tabela1[#All],4,0)*E612,"")</f>
        <v/>
      </c>
      <c r="H612" s="16"/>
    </row>
    <row r="613" spans="1:8" x14ac:dyDescent="0.25">
      <c r="A613" s="14" t="str">
        <f t="shared" ca="1" si="9"/>
        <v/>
      </c>
      <c r="D613" s="15" t="str">
        <f>IF(C613="","",VLOOKUP(C613,Tabela1[#All],2,0))</f>
        <v/>
      </c>
      <c r="F613" s="16" t="str" cm="1">
        <f t="array" ref="F613">IF(B613="","",(IF(B613="Compra de estoque","",(_xlfn.IFS(AND(B613="Venda de produtos",H613="Sul/Sudeste"),(VLOOKUP(C613,Tabela1[#All],9,0)*E613),AND(B613="Venda de produtos",H613="Nordeste"),(VLOOKUP(C613,Tabela1[#All],11,0)*E613),AND("Venda de produtos",H613="Norte/Centro-Oeste"),(VLOOKUP(C613,Tabela1[#All],13,0)*E613))))))</f>
        <v/>
      </c>
      <c r="G613" s="16" t="str">
        <f>IF(B613="Compra de estoque",VLOOKUP(C613,Tabela1[#All],4,0)*E613,"")</f>
        <v/>
      </c>
      <c r="H613" s="16"/>
    </row>
    <row r="614" spans="1:8" x14ac:dyDescent="0.25">
      <c r="A614" s="14" t="str">
        <f t="shared" ca="1" si="9"/>
        <v/>
      </c>
      <c r="D614" s="15" t="str">
        <f>IF(C614="","",VLOOKUP(C614,Tabela1[#All],2,0))</f>
        <v/>
      </c>
      <c r="F614" s="16" t="str" cm="1">
        <f t="array" ref="F614">IF(B614="","",(IF(B614="Compra de estoque","",(_xlfn.IFS(AND(B614="Venda de produtos",H614="Sul/Sudeste"),(VLOOKUP(C614,Tabela1[#All],9,0)*E614),AND(B614="Venda de produtos",H614="Nordeste"),(VLOOKUP(C614,Tabela1[#All],11,0)*E614),AND("Venda de produtos",H614="Norte/Centro-Oeste"),(VLOOKUP(C614,Tabela1[#All],13,0)*E614))))))</f>
        <v/>
      </c>
      <c r="G614" s="16" t="str">
        <f>IF(B614="Compra de estoque",VLOOKUP(C614,Tabela1[#All],4,0)*E614,"")</f>
        <v/>
      </c>
      <c r="H614" s="16"/>
    </row>
    <row r="615" spans="1:8" x14ac:dyDescent="0.25">
      <c r="A615" s="14" t="str">
        <f t="shared" ca="1" si="9"/>
        <v/>
      </c>
      <c r="D615" s="15" t="str">
        <f>IF(C615="","",VLOOKUP(C615,Tabela1[#All],2,0))</f>
        <v/>
      </c>
      <c r="F615" s="16" t="str" cm="1">
        <f t="array" ref="F615">IF(B615="","",(IF(B615="Compra de estoque","",(_xlfn.IFS(AND(B615="Venda de produtos",H615="Sul/Sudeste"),(VLOOKUP(C615,Tabela1[#All],9,0)*E615),AND(B615="Venda de produtos",H615="Nordeste"),(VLOOKUP(C615,Tabela1[#All],11,0)*E615),AND("Venda de produtos",H615="Norte/Centro-Oeste"),(VLOOKUP(C615,Tabela1[#All],13,0)*E615))))))</f>
        <v/>
      </c>
      <c r="G615" s="16" t="str">
        <f>IF(B615="Compra de estoque",VLOOKUP(C615,Tabela1[#All],4,0)*E615,"")</f>
        <v/>
      </c>
      <c r="H615" s="16"/>
    </row>
    <row r="616" spans="1:8" x14ac:dyDescent="0.25">
      <c r="A616" s="14" t="str">
        <f t="shared" ca="1" si="9"/>
        <v/>
      </c>
      <c r="D616" s="15" t="str">
        <f>IF(C616="","",VLOOKUP(C616,Tabela1[#All],2,0))</f>
        <v/>
      </c>
      <c r="F616" s="16" t="str" cm="1">
        <f t="array" ref="F616">IF(B616="","",(IF(B616="Compra de estoque","",(_xlfn.IFS(AND(B616="Venda de produtos",H616="Sul/Sudeste"),(VLOOKUP(C616,Tabela1[#All],9,0)*E616),AND(B616="Venda de produtos",H616="Nordeste"),(VLOOKUP(C616,Tabela1[#All],11,0)*E616),AND("Venda de produtos",H616="Norte/Centro-Oeste"),(VLOOKUP(C616,Tabela1[#All],13,0)*E616))))))</f>
        <v/>
      </c>
      <c r="G616" s="16" t="str">
        <f>IF(B616="Compra de estoque",VLOOKUP(C616,Tabela1[#All],4,0)*E616,"")</f>
        <v/>
      </c>
      <c r="H616" s="16"/>
    </row>
    <row r="617" spans="1:8" x14ac:dyDescent="0.25">
      <c r="A617" s="14" t="str">
        <f t="shared" ca="1" si="9"/>
        <v/>
      </c>
      <c r="D617" s="15" t="str">
        <f>IF(C617="","",VLOOKUP(C617,Tabela1[#All],2,0))</f>
        <v/>
      </c>
      <c r="F617" s="16" t="str" cm="1">
        <f t="array" ref="F617">IF(B617="","",(IF(B617="Compra de estoque","",(_xlfn.IFS(AND(B617="Venda de produtos",H617="Sul/Sudeste"),(VLOOKUP(C617,Tabela1[#All],9,0)*E617),AND(B617="Venda de produtos",H617="Nordeste"),(VLOOKUP(C617,Tabela1[#All],11,0)*E617),AND("Venda de produtos",H617="Norte/Centro-Oeste"),(VLOOKUP(C617,Tabela1[#All],13,0)*E617))))))</f>
        <v/>
      </c>
      <c r="G617" s="16" t="str">
        <f>IF(B617="Compra de estoque",VLOOKUP(C617,Tabela1[#All],4,0)*E617,"")</f>
        <v/>
      </c>
      <c r="H617" s="16"/>
    </row>
    <row r="618" spans="1:8" x14ac:dyDescent="0.25">
      <c r="A618" s="14" t="str">
        <f t="shared" ca="1" si="9"/>
        <v/>
      </c>
      <c r="D618" s="15" t="str">
        <f>IF(C618="","",VLOOKUP(C618,Tabela1[#All],2,0))</f>
        <v/>
      </c>
      <c r="F618" s="16" t="str" cm="1">
        <f t="array" ref="F618">IF(B618="","",(IF(B618="Compra de estoque","",(_xlfn.IFS(AND(B618="Venda de produtos",H618="Sul/Sudeste"),(VLOOKUP(C618,Tabela1[#All],9,0)*E618),AND(B618="Venda de produtos",H618="Nordeste"),(VLOOKUP(C618,Tabela1[#All],11,0)*E618),AND("Venda de produtos",H618="Norte/Centro-Oeste"),(VLOOKUP(C618,Tabela1[#All],13,0)*E618))))))</f>
        <v/>
      </c>
      <c r="G618" s="16" t="str">
        <f>IF(B618="Compra de estoque",VLOOKUP(C618,Tabela1[#All],4,0)*E618,"")</f>
        <v/>
      </c>
      <c r="H618" s="16"/>
    </row>
    <row r="619" spans="1:8" x14ac:dyDescent="0.25">
      <c r="A619" s="14" t="str">
        <f t="shared" ca="1" si="9"/>
        <v/>
      </c>
      <c r="D619" s="15" t="str">
        <f>IF(C619="","",VLOOKUP(C619,Tabela1[#All],2,0))</f>
        <v/>
      </c>
      <c r="F619" s="16" t="str" cm="1">
        <f t="array" ref="F619">IF(B619="","",(IF(B619="Compra de estoque","",(_xlfn.IFS(AND(B619="Venda de produtos",H619="Sul/Sudeste"),(VLOOKUP(C619,Tabela1[#All],9,0)*E619),AND(B619="Venda de produtos",H619="Nordeste"),(VLOOKUP(C619,Tabela1[#All],11,0)*E619),AND("Venda de produtos",H619="Norte/Centro-Oeste"),(VLOOKUP(C619,Tabela1[#All],13,0)*E619))))))</f>
        <v/>
      </c>
      <c r="G619" s="16" t="str">
        <f>IF(B619="Compra de estoque",VLOOKUP(C619,Tabela1[#All],4,0)*E619,"")</f>
        <v/>
      </c>
      <c r="H619" s="16"/>
    </row>
    <row r="620" spans="1:8" x14ac:dyDescent="0.25">
      <c r="A620" s="14" t="str">
        <f t="shared" ca="1" si="9"/>
        <v/>
      </c>
      <c r="D620" s="15" t="str">
        <f>IF(C620="","",VLOOKUP(C620,Tabela1[#All],2,0))</f>
        <v/>
      </c>
      <c r="F620" s="16" t="str" cm="1">
        <f t="array" ref="F620">IF(B620="","",(IF(B620="Compra de estoque","",(_xlfn.IFS(AND(B620="Venda de produtos",H620="Sul/Sudeste"),(VLOOKUP(C620,Tabela1[#All],9,0)*E620),AND(B620="Venda de produtos",H620="Nordeste"),(VLOOKUP(C620,Tabela1[#All],11,0)*E620),AND("Venda de produtos",H620="Norte/Centro-Oeste"),(VLOOKUP(C620,Tabela1[#All],13,0)*E620))))))</f>
        <v/>
      </c>
      <c r="G620" s="16" t="str">
        <f>IF(B620="Compra de estoque",VLOOKUP(C620,Tabela1[#All],4,0)*E620,"")</f>
        <v/>
      </c>
      <c r="H620" s="16"/>
    </row>
    <row r="621" spans="1:8" x14ac:dyDescent="0.25">
      <c r="A621" s="14" t="str">
        <f t="shared" ca="1" si="9"/>
        <v/>
      </c>
      <c r="D621" s="15" t="str">
        <f>IF(C621="","",VLOOKUP(C621,Tabela1[#All],2,0))</f>
        <v/>
      </c>
      <c r="F621" s="16" t="str" cm="1">
        <f t="array" ref="F621">IF(B621="","",(IF(B621="Compra de estoque","",(_xlfn.IFS(AND(B621="Venda de produtos",H621="Sul/Sudeste"),(VLOOKUP(C621,Tabela1[#All],9,0)*E621),AND(B621="Venda de produtos",H621="Nordeste"),(VLOOKUP(C621,Tabela1[#All],11,0)*E621),AND("Venda de produtos",H621="Norte/Centro-Oeste"),(VLOOKUP(C621,Tabela1[#All],13,0)*E621))))))</f>
        <v/>
      </c>
      <c r="G621" s="16" t="str">
        <f>IF(B621="Compra de estoque",VLOOKUP(C621,Tabela1[#All],4,0)*E621,"")</f>
        <v/>
      </c>
      <c r="H621" s="16"/>
    </row>
    <row r="622" spans="1:8" x14ac:dyDescent="0.25">
      <c r="A622" s="14" t="str">
        <f t="shared" ca="1" si="9"/>
        <v/>
      </c>
      <c r="D622" s="15" t="str">
        <f>IF(C622="","",VLOOKUP(C622,Tabela1[#All],2,0))</f>
        <v/>
      </c>
      <c r="F622" s="16" t="str" cm="1">
        <f t="array" ref="F622">IF(B622="","",(IF(B622="Compra de estoque","",(_xlfn.IFS(AND(B622="Venda de produtos",H622="Sul/Sudeste"),(VLOOKUP(C622,Tabela1[#All],9,0)*E622),AND(B622="Venda de produtos",H622="Nordeste"),(VLOOKUP(C622,Tabela1[#All],11,0)*E622),AND("Venda de produtos",H622="Norte/Centro-Oeste"),(VLOOKUP(C622,Tabela1[#All],13,0)*E622))))))</f>
        <v/>
      </c>
      <c r="G622" s="16" t="str">
        <f>IF(B622="Compra de estoque",VLOOKUP(C622,Tabela1[#All],4,0)*E622,"")</f>
        <v/>
      </c>
      <c r="H622" s="16"/>
    </row>
    <row r="623" spans="1:8" x14ac:dyDescent="0.25">
      <c r="A623" s="14" t="str">
        <f t="shared" ca="1" si="9"/>
        <v/>
      </c>
      <c r="D623" s="15" t="str">
        <f>IF(C623="","",VLOOKUP(C623,Tabela1[#All],2,0))</f>
        <v/>
      </c>
      <c r="F623" s="16" t="str" cm="1">
        <f t="array" ref="F623">IF(B623="","",(IF(B623="Compra de estoque","",(_xlfn.IFS(AND(B623="Venda de produtos",H623="Sul/Sudeste"),(VLOOKUP(C623,Tabela1[#All],9,0)*E623),AND(B623="Venda de produtos",H623="Nordeste"),(VLOOKUP(C623,Tabela1[#All],11,0)*E623),AND("Venda de produtos",H623="Norte/Centro-Oeste"),(VLOOKUP(C623,Tabela1[#All],13,0)*E623))))))</f>
        <v/>
      </c>
      <c r="G623" s="16" t="str">
        <f>IF(B623="Compra de estoque",VLOOKUP(C623,Tabela1[#All],4,0)*E623,"")</f>
        <v/>
      </c>
      <c r="H623" s="16"/>
    </row>
    <row r="624" spans="1:8" x14ac:dyDescent="0.25">
      <c r="A624" s="14" t="str">
        <f t="shared" ca="1" si="9"/>
        <v/>
      </c>
      <c r="D624" s="15" t="str">
        <f>IF(C624="","",VLOOKUP(C624,Tabela1[#All],2,0))</f>
        <v/>
      </c>
      <c r="F624" s="16" t="str" cm="1">
        <f t="array" ref="F624">IF(B624="","",(IF(B624="Compra de estoque","",(_xlfn.IFS(AND(B624="Venda de produtos",H624="Sul/Sudeste"),(VLOOKUP(C624,Tabela1[#All],9,0)*E624),AND(B624="Venda de produtos",H624="Nordeste"),(VLOOKUP(C624,Tabela1[#All],11,0)*E624),AND("Venda de produtos",H624="Norte/Centro-Oeste"),(VLOOKUP(C624,Tabela1[#All],13,0)*E624))))))</f>
        <v/>
      </c>
      <c r="G624" s="16" t="str">
        <f>IF(B624="Compra de estoque",VLOOKUP(C624,Tabela1[#All],4,0)*E624,"")</f>
        <v/>
      </c>
      <c r="H624" s="16"/>
    </row>
    <row r="625" spans="1:8" x14ac:dyDescent="0.25">
      <c r="A625" s="14" t="str">
        <f t="shared" ca="1" si="9"/>
        <v/>
      </c>
      <c r="D625" s="15" t="str">
        <f>IF(C625="","",VLOOKUP(C625,Tabela1[#All],2,0))</f>
        <v/>
      </c>
      <c r="F625" s="16" t="str" cm="1">
        <f t="array" ref="F625">IF(B625="","",(IF(B625="Compra de estoque","",(_xlfn.IFS(AND(B625="Venda de produtos",H625="Sul/Sudeste"),(VLOOKUP(C625,Tabela1[#All],9,0)*E625),AND(B625="Venda de produtos",H625="Nordeste"),(VLOOKUP(C625,Tabela1[#All],11,0)*E625),AND("Venda de produtos",H625="Norte/Centro-Oeste"),(VLOOKUP(C625,Tabela1[#All],13,0)*E625))))))</f>
        <v/>
      </c>
      <c r="G625" s="16" t="str">
        <f>IF(B625="Compra de estoque",VLOOKUP(C625,Tabela1[#All],4,0)*E625,"")</f>
        <v/>
      </c>
      <c r="H625" s="16"/>
    </row>
    <row r="626" spans="1:8" x14ac:dyDescent="0.25">
      <c r="A626" s="14" t="str">
        <f t="shared" ca="1" si="9"/>
        <v/>
      </c>
      <c r="D626" s="15" t="str">
        <f>IF(C626="","",VLOOKUP(C626,Tabela1[#All],2,0))</f>
        <v/>
      </c>
      <c r="F626" s="16" t="str" cm="1">
        <f t="array" ref="F626">IF(B626="","",(IF(B626="Compra de estoque","",(_xlfn.IFS(AND(B626="Venda de produtos",H626="Sul/Sudeste"),(VLOOKUP(C626,Tabela1[#All],9,0)*E626),AND(B626="Venda de produtos",H626="Nordeste"),(VLOOKUP(C626,Tabela1[#All],11,0)*E626),AND("Venda de produtos",H626="Norte/Centro-Oeste"),(VLOOKUP(C626,Tabela1[#All],13,0)*E626))))))</f>
        <v/>
      </c>
      <c r="G626" s="16" t="str">
        <f>IF(B626="Compra de estoque",VLOOKUP(C626,Tabela1[#All],4,0)*E626,"")</f>
        <v/>
      </c>
      <c r="H626" s="16"/>
    </row>
    <row r="627" spans="1:8" x14ac:dyDescent="0.25">
      <c r="A627" s="14" t="str">
        <f t="shared" ca="1" si="9"/>
        <v/>
      </c>
      <c r="D627" s="15" t="str">
        <f>IF(C627="","",VLOOKUP(C627,Tabela1[#All],2,0))</f>
        <v/>
      </c>
      <c r="F627" s="16" t="str" cm="1">
        <f t="array" ref="F627">IF(B627="","",(IF(B627="Compra de estoque","",(_xlfn.IFS(AND(B627="Venda de produtos",H627="Sul/Sudeste"),(VLOOKUP(C627,Tabela1[#All],9,0)*E627),AND(B627="Venda de produtos",H627="Nordeste"),(VLOOKUP(C627,Tabela1[#All],11,0)*E627),AND("Venda de produtos",H627="Norte/Centro-Oeste"),(VLOOKUP(C627,Tabela1[#All],13,0)*E627))))))</f>
        <v/>
      </c>
      <c r="G627" s="16" t="str">
        <f>IF(B627="Compra de estoque",VLOOKUP(C627,Tabela1[#All],4,0)*E627,"")</f>
        <v/>
      </c>
      <c r="H627" s="16"/>
    </row>
    <row r="628" spans="1:8" x14ac:dyDescent="0.25">
      <c r="A628" s="14" t="str">
        <f t="shared" ca="1" si="9"/>
        <v/>
      </c>
      <c r="D628" s="15" t="str">
        <f>IF(C628="","",VLOOKUP(C628,Tabela1[#All],2,0))</f>
        <v/>
      </c>
      <c r="F628" s="16" t="str" cm="1">
        <f t="array" ref="F628">IF(B628="","",(IF(B628="Compra de estoque","",(_xlfn.IFS(AND(B628="Venda de produtos",H628="Sul/Sudeste"),(VLOOKUP(C628,Tabela1[#All],9,0)*E628),AND(B628="Venda de produtos",H628="Nordeste"),(VLOOKUP(C628,Tabela1[#All],11,0)*E628),AND("Venda de produtos",H628="Norte/Centro-Oeste"),(VLOOKUP(C628,Tabela1[#All],13,0)*E628))))))</f>
        <v/>
      </c>
      <c r="G628" s="16" t="str">
        <f>IF(B628="Compra de estoque",VLOOKUP(C628,Tabela1[#All],4,0)*E628,"")</f>
        <v/>
      </c>
      <c r="H628" s="16"/>
    </row>
    <row r="629" spans="1:8" x14ac:dyDescent="0.25">
      <c r="A629" s="14" t="str">
        <f t="shared" ca="1" si="9"/>
        <v/>
      </c>
      <c r="D629" s="15" t="str">
        <f>IF(C629="","",VLOOKUP(C629,Tabela1[#All],2,0))</f>
        <v/>
      </c>
      <c r="F629" s="16" t="str" cm="1">
        <f t="array" ref="F629">IF(B629="","",(IF(B629="Compra de estoque","",(_xlfn.IFS(AND(B629="Venda de produtos",H629="Sul/Sudeste"),(VLOOKUP(C629,Tabela1[#All],9,0)*E629),AND(B629="Venda de produtos",H629="Nordeste"),(VLOOKUP(C629,Tabela1[#All],11,0)*E629),AND("Venda de produtos",H629="Norte/Centro-Oeste"),(VLOOKUP(C629,Tabela1[#All],13,0)*E629))))))</f>
        <v/>
      </c>
      <c r="G629" s="16" t="str">
        <f>IF(B629="Compra de estoque",VLOOKUP(C629,Tabela1[#All],4,0)*E629,"")</f>
        <v/>
      </c>
      <c r="H629" s="16"/>
    </row>
    <row r="630" spans="1:8" x14ac:dyDescent="0.25">
      <c r="A630" s="14" t="str">
        <f t="shared" ca="1" si="9"/>
        <v/>
      </c>
      <c r="D630" s="15" t="str">
        <f>IF(C630="","",VLOOKUP(C630,Tabela1[#All],2,0))</f>
        <v/>
      </c>
      <c r="F630" s="16" t="str" cm="1">
        <f t="array" ref="F630">IF(B630="","",(IF(B630="Compra de estoque","",(_xlfn.IFS(AND(B630="Venda de produtos",H630="Sul/Sudeste"),(VLOOKUP(C630,Tabela1[#All],9,0)*E630),AND(B630="Venda de produtos",H630="Nordeste"),(VLOOKUP(C630,Tabela1[#All],11,0)*E630),AND("Venda de produtos",H630="Norte/Centro-Oeste"),(VLOOKUP(C630,Tabela1[#All],13,0)*E630))))))</f>
        <v/>
      </c>
      <c r="G630" s="16" t="str">
        <f>IF(B630="Compra de estoque",VLOOKUP(C630,Tabela1[#All],4,0)*E630,"")</f>
        <v/>
      </c>
      <c r="H630" s="16"/>
    </row>
    <row r="631" spans="1:8" x14ac:dyDescent="0.25">
      <c r="A631" s="14" t="str">
        <f t="shared" ca="1" si="9"/>
        <v/>
      </c>
      <c r="D631" s="15" t="str">
        <f>IF(C631="","",VLOOKUP(C631,Tabela1[#All],2,0))</f>
        <v/>
      </c>
      <c r="F631" s="16" t="str" cm="1">
        <f t="array" ref="F631">IF(B631="","",(IF(B631="Compra de estoque","",(_xlfn.IFS(AND(B631="Venda de produtos",H631="Sul/Sudeste"),(VLOOKUP(C631,Tabela1[#All],9,0)*E631),AND(B631="Venda de produtos",H631="Nordeste"),(VLOOKUP(C631,Tabela1[#All],11,0)*E631),AND("Venda de produtos",H631="Norte/Centro-Oeste"),(VLOOKUP(C631,Tabela1[#All],13,0)*E631))))))</f>
        <v/>
      </c>
      <c r="G631" s="16" t="str">
        <f>IF(B631="Compra de estoque",VLOOKUP(C631,Tabela1[#All],4,0)*E631,"")</f>
        <v/>
      </c>
      <c r="H631" s="16"/>
    </row>
    <row r="632" spans="1:8" x14ac:dyDescent="0.25">
      <c r="A632" s="14" t="str">
        <f t="shared" ca="1" si="9"/>
        <v/>
      </c>
      <c r="D632" s="15" t="str">
        <f>IF(C632="","",VLOOKUP(C632,Tabela1[#All],2,0))</f>
        <v/>
      </c>
      <c r="F632" s="16" t="str" cm="1">
        <f t="array" ref="F632">IF(B632="","",(IF(B632="Compra de estoque","",(_xlfn.IFS(AND(B632="Venda de produtos",H632="Sul/Sudeste"),(VLOOKUP(C632,Tabela1[#All],9,0)*E632),AND(B632="Venda de produtos",H632="Nordeste"),(VLOOKUP(C632,Tabela1[#All],11,0)*E632),AND("Venda de produtos",H632="Norte/Centro-Oeste"),(VLOOKUP(C632,Tabela1[#All],13,0)*E632))))))</f>
        <v/>
      </c>
      <c r="G632" s="16" t="str">
        <f>IF(B632="Compra de estoque",VLOOKUP(C632,Tabela1[#All],4,0)*E632,"")</f>
        <v/>
      </c>
      <c r="H632" s="16"/>
    </row>
    <row r="633" spans="1:8" x14ac:dyDescent="0.25">
      <c r="A633" s="14" t="str">
        <f t="shared" ca="1" si="9"/>
        <v/>
      </c>
      <c r="D633" s="15" t="str">
        <f>IF(C633="","",VLOOKUP(C633,Tabela1[#All],2,0))</f>
        <v/>
      </c>
      <c r="F633" s="16" t="str" cm="1">
        <f t="array" ref="F633">IF(B633="","",(IF(B633="Compra de estoque","",(_xlfn.IFS(AND(B633="Venda de produtos",H633="Sul/Sudeste"),(VLOOKUP(C633,Tabela1[#All],9,0)*E633),AND(B633="Venda de produtos",H633="Nordeste"),(VLOOKUP(C633,Tabela1[#All],11,0)*E633),AND("Venda de produtos",H633="Norte/Centro-Oeste"),(VLOOKUP(C633,Tabela1[#All],13,0)*E633))))))</f>
        <v/>
      </c>
      <c r="G633" s="16" t="str">
        <f>IF(B633="Compra de estoque",VLOOKUP(C633,Tabela1[#All],4,0)*E633,"")</f>
        <v/>
      </c>
      <c r="H633" s="16"/>
    </row>
    <row r="634" spans="1:8" x14ac:dyDescent="0.25">
      <c r="A634" s="14" t="str">
        <f t="shared" ca="1" si="9"/>
        <v/>
      </c>
      <c r="D634" s="15" t="str">
        <f>IF(C634="","",VLOOKUP(C634,Tabela1[#All],2,0))</f>
        <v/>
      </c>
      <c r="F634" s="16" t="str" cm="1">
        <f t="array" ref="F634">IF(B634="","",(IF(B634="Compra de estoque","",(_xlfn.IFS(AND(B634="Venda de produtos",H634="Sul/Sudeste"),(VLOOKUP(C634,Tabela1[#All],9,0)*E634),AND(B634="Venda de produtos",H634="Nordeste"),(VLOOKUP(C634,Tabela1[#All],11,0)*E634),AND("Venda de produtos",H634="Norte/Centro-Oeste"),(VLOOKUP(C634,Tabela1[#All],13,0)*E634))))))</f>
        <v/>
      </c>
      <c r="G634" s="16" t="str">
        <f>IF(B634="Compra de estoque",VLOOKUP(C634,Tabela1[#All],4,0)*E634,"")</f>
        <v/>
      </c>
      <c r="H634" s="16"/>
    </row>
    <row r="635" spans="1:8" x14ac:dyDescent="0.25">
      <c r="A635" s="14" t="str">
        <f t="shared" ca="1" si="9"/>
        <v/>
      </c>
      <c r="D635" s="15" t="str">
        <f>IF(C635="","",VLOOKUP(C635,Tabela1[#All],2,0))</f>
        <v/>
      </c>
      <c r="F635" s="16" t="str" cm="1">
        <f t="array" ref="F635">IF(B635="","",(IF(B635="Compra de estoque","",(_xlfn.IFS(AND(B635="Venda de produtos",H635="Sul/Sudeste"),(VLOOKUP(C635,Tabela1[#All],9,0)*E635),AND(B635="Venda de produtos",H635="Nordeste"),(VLOOKUP(C635,Tabela1[#All],11,0)*E635),AND("Venda de produtos",H635="Norte/Centro-Oeste"),(VLOOKUP(C635,Tabela1[#All],13,0)*E635))))))</f>
        <v/>
      </c>
      <c r="G635" s="16" t="str">
        <f>IF(B635="Compra de estoque",VLOOKUP(C635,Tabela1[#All],4,0)*E635,"")</f>
        <v/>
      </c>
      <c r="H635" s="16"/>
    </row>
    <row r="636" spans="1:8" x14ac:dyDescent="0.25">
      <c r="A636" s="14" t="str">
        <f t="shared" ca="1" si="9"/>
        <v/>
      </c>
      <c r="D636" s="15" t="str">
        <f>IF(C636="","",VLOOKUP(C636,Tabela1[#All],2,0))</f>
        <v/>
      </c>
      <c r="F636" s="16" t="str" cm="1">
        <f t="array" ref="F636">IF(B636="","",(IF(B636="Compra de estoque","",(_xlfn.IFS(AND(B636="Venda de produtos",H636="Sul/Sudeste"),(VLOOKUP(C636,Tabela1[#All],9,0)*E636),AND(B636="Venda de produtos",H636="Nordeste"),(VLOOKUP(C636,Tabela1[#All],11,0)*E636),AND("Venda de produtos",H636="Norte/Centro-Oeste"),(VLOOKUP(C636,Tabela1[#All],13,0)*E636))))))</f>
        <v/>
      </c>
      <c r="G636" s="16" t="str">
        <f>IF(B636="Compra de estoque",VLOOKUP(C636,Tabela1[#All],4,0)*E636,"")</f>
        <v/>
      </c>
      <c r="H636" s="16"/>
    </row>
    <row r="637" spans="1:8" x14ac:dyDescent="0.25">
      <c r="A637" s="14" t="str">
        <f t="shared" ca="1" si="9"/>
        <v/>
      </c>
      <c r="D637" s="15" t="str">
        <f>IF(C637="","",VLOOKUP(C637,Tabela1[#All],2,0))</f>
        <v/>
      </c>
      <c r="F637" s="16" t="str" cm="1">
        <f t="array" ref="F637">IF(B637="","",(IF(B637="Compra de estoque","",(_xlfn.IFS(AND(B637="Venda de produtos",H637="Sul/Sudeste"),(VLOOKUP(C637,Tabela1[#All],9,0)*E637),AND(B637="Venda de produtos",H637="Nordeste"),(VLOOKUP(C637,Tabela1[#All],11,0)*E637),AND("Venda de produtos",H637="Norte/Centro-Oeste"),(VLOOKUP(C637,Tabela1[#All],13,0)*E637))))))</f>
        <v/>
      </c>
      <c r="G637" s="16" t="str">
        <f>IF(B637="Compra de estoque",VLOOKUP(C637,Tabela1[#All],4,0)*E637,"")</f>
        <v/>
      </c>
      <c r="H637" s="16"/>
    </row>
    <row r="638" spans="1:8" x14ac:dyDescent="0.25">
      <c r="A638" s="14" t="str">
        <f t="shared" ca="1" si="9"/>
        <v/>
      </c>
      <c r="D638" s="15" t="str">
        <f>IF(C638="","",VLOOKUP(C638,Tabela1[#All],2,0))</f>
        <v/>
      </c>
      <c r="F638" s="16" t="str" cm="1">
        <f t="array" ref="F638">IF(B638="","",(IF(B638="Compra de estoque","",(_xlfn.IFS(AND(B638="Venda de produtos",H638="Sul/Sudeste"),(VLOOKUP(C638,Tabela1[#All],9,0)*E638),AND(B638="Venda de produtos",H638="Nordeste"),(VLOOKUP(C638,Tabela1[#All],11,0)*E638),AND("Venda de produtos",H638="Norte/Centro-Oeste"),(VLOOKUP(C638,Tabela1[#All],13,0)*E638))))))</f>
        <v/>
      </c>
      <c r="G638" s="16" t="str">
        <f>IF(B638="Compra de estoque",VLOOKUP(C638,Tabela1[#All],4,0)*E638,"")</f>
        <v/>
      </c>
      <c r="H638" s="16"/>
    </row>
    <row r="639" spans="1:8" x14ac:dyDescent="0.25">
      <c r="A639" s="14" t="str">
        <f t="shared" ca="1" si="9"/>
        <v/>
      </c>
      <c r="D639" s="15" t="str">
        <f>IF(C639="","",VLOOKUP(C639,Tabela1[#All],2,0))</f>
        <v/>
      </c>
      <c r="F639" s="16" t="str" cm="1">
        <f t="array" ref="F639">IF(B639="","",(IF(B639="Compra de estoque","",(_xlfn.IFS(AND(B639="Venda de produtos",H639="Sul/Sudeste"),(VLOOKUP(C639,Tabela1[#All],9,0)*E639),AND(B639="Venda de produtos",H639="Nordeste"),(VLOOKUP(C639,Tabela1[#All],11,0)*E639),AND("Venda de produtos",H639="Norte/Centro-Oeste"),(VLOOKUP(C639,Tabela1[#All],13,0)*E639))))))</f>
        <v/>
      </c>
      <c r="G639" s="16" t="str">
        <f>IF(B639="Compra de estoque",VLOOKUP(C639,Tabela1[#All],4,0)*E639,"")</f>
        <v/>
      </c>
      <c r="H639" s="16"/>
    </row>
    <row r="640" spans="1:8" x14ac:dyDescent="0.25">
      <c r="A640" s="14" t="str">
        <f t="shared" ca="1" si="9"/>
        <v/>
      </c>
      <c r="D640" s="15" t="str">
        <f>IF(C640="","",VLOOKUP(C640,Tabela1[#All],2,0))</f>
        <v/>
      </c>
      <c r="F640" s="16" t="str" cm="1">
        <f t="array" ref="F640">IF(B640="","",(IF(B640="Compra de estoque","",(_xlfn.IFS(AND(B640="Venda de produtos",H640="Sul/Sudeste"),(VLOOKUP(C640,Tabela1[#All],9,0)*E640),AND(B640="Venda de produtos",H640="Nordeste"),(VLOOKUP(C640,Tabela1[#All],11,0)*E640),AND("Venda de produtos",H640="Norte/Centro-Oeste"),(VLOOKUP(C640,Tabela1[#All],13,0)*E640))))))</f>
        <v/>
      </c>
      <c r="G640" s="16" t="str">
        <f>IF(B640="Compra de estoque",VLOOKUP(C640,Tabela1[#All],4,0)*E640,"")</f>
        <v/>
      </c>
      <c r="H640" s="16"/>
    </row>
    <row r="641" spans="1:8" x14ac:dyDescent="0.25">
      <c r="A641" s="14" t="str">
        <f t="shared" ca="1" si="9"/>
        <v/>
      </c>
      <c r="D641" s="15" t="str">
        <f>IF(C641="","",VLOOKUP(C641,Tabela1[#All],2,0))</f>
        <v/>
      </c>
      <c r="F641" s="16" t="str" cm="1">
        <f t="array" ref="F641">IF(B641="","",(IF(B641="Compra de estoque","",(_xlfn.IFS(AND(B641="Venda de produtos",H641="Sul/Sudeste"),(VLOOKUP(C641,Tabela1[#All],9,0)*E641),AND(B641="Venda de produtos",H641="Nordeste"),(VLOOKUP(C641,Tabela1[#All],11,0)*E641),AND("Venda de produtos",H641="Norte/Centro-Oeste"),(VLOOKUP(C641,Tabela1[#All],13,0)*E641))))))</f>
        <v/>
      </c>
      <c r="G641" s="16" t="str">
        <f>IF(B641="Compra de estoque",VLOOKUP(C641,Tabela1[#All],4,0)*E641,"")</f>
        <v/>
      </c>
      <c r="H641" s="16"/>
    </row>
    <row r="642" spans="1:8" x14ac:dyDescent="0.25">
      <c r="A642" s="14" t="str">
        <f t="shared" ca="1" si="9"/>
        <v/>
      </c>
      <c r="D642" s="15" t="str">
        <f>IF(C642="","",VLOOKUP(C642,Tabela1[#All],2,0))</f>
        <v/>
      </c>
      <c r="F642" s="16" t="str" cm="1">
        <f t="array" ref="F642">IF(B642="","",(IF(B642="Compra de estoque","",(_xlfn.IFS(AND(B642="Venda de produtos",H642="Sul/Sudeste"),(VLOOKUP(C642,Tabela1[#All],9,0)*E642),AND(B642="Venda de produtos",H642="Nordeste"),(VLOOKUP(C642,Tabela1[#All],11,0)*E642),AND("Venda de produtos",H642="Norte/Centro-Oeste"),(VLOOKUP(C642,Tabela1[#All],13,0)*E642))))))</f>
        <v/>
      </c>
      <c r="G642" s="16" t="str">
        <f>IF(B642="Compra de estoque",VLOOKUP(C642,Tabela1[#All],4,0)*E642,"")</f>
        <v/>
      </c>
      <c r="H642" s="16"/>
    </row>
    <row r="643" spans="1:8" x14ac:dyDescent="0.25">
      <c r="A643" s="14" t="str">
        <f t="shared" ref="A643:A706" ca="1" si="10">IF(C643="","",NOW())</f>
        <v/>
      </c>
      <c r="D643" s="15" t="str">
        <f>IF(C643="","",VLOOKUP(C643,Tabela1[#All],2,0))</f>
        <v/>
      </c>
      <c r="F643" s="16" t="str" cm="1">
        <f t="array" ref="F643">IF(B643="","",(IF(B643="Compra de estoque","",(_xlfn.IFS(AND(B643="Venda de produtos",H643="Sul/Sudeste"),(VLOOKUP(C643,Tabela1[#All],9,0)*E643),AND(B643="Venda de produtos",H643="Nordeste"),(VLOOKUP(C643,Tabela1[#All],11,0)*E643),AND("Venda de produtos",H643="Norte/Centro-Oeste"),(VLOOKUP(C643,Tabela1[#All],13,0)*E643))))))</f>
        <v/>
      </c>
      <c r="G643" s="16" t="str">
        <f>IF(B643="Compra de estoque",VLOOKUP(C643,Tabela1[#All],4,0)*E643,"")</f>
        <v/>
      </c>
      <c r="H643" s="16"/>
    </row>
    <row r="644" spans="1:8" x14ac:dyDescent="0.25">
      <c r="A644" s="14" t="str">
        <f t="shared" ca="1" si="10"/>
        <v/>
      </c>
      <c r="D644" s="15" t="str">
        <f>IF(C644="","",VLOOKUP(C644,Tabela1[#All],2,0))</f>
        <v/>
      </c>
      <c r="F644" s="16" t="str" cm="1">
        <f t="array" ref="F644">IF(B644="","",(IF(B644="Compra de estoque","",(_xlfn.IFS(AND(B644="Venda de produtos",H644="Sul/Sudeste"),(VLOOKUP(C644,Tabela1[#All],9,0)*E644),AND(B644="Venda de produtos",H644="Nordeste"),(VLOOKUP(C644,Tabela1[#All],11,0)*E644),AND("Venda de produtos",H644="Norte/Centro-Oeste"),(VLOOKUP(C644,Tabela1[#All],13,0)*E644))))))</f>
        <v/>
      </c>
      <c r="G644" s="16" t="str">
        <f>IF(B644="Compra de estoque",VLOOKUP(C644,Tabela1[#All],4,0)*E644,"")</f>
        <v/>
      </c>
      <c r="H644" s="16"/>
    </row>
    <row r="645" spans="1:8" x14ac:dyDescent="0.25">
      <c r="A645" s="14" t="str">
        <f t="shared" ca="1" si="10"/>
        <v/>
      </c>
      <c r="D645" s="15" t="str">
        <f>IF(C645="","",VLOOKUP(C645,Tabela1[#All],2,0))</f>
        <v/>
      </c>
      <c r="F645" s="16" t="str" cm="1">
        <f t="array" ref="F645">IF(B645="","",(IF(B645="Compra de estoque","",(_xlfn.IFS(AND(B645="Venda de produtos",H645="Sul/Sudeste"),(VLOOKUP(C645,Tabela1[#All],9,0)*E645),AND(B645="Venda de produtos",H645="Nordeste"),(VLOOKUP(C645,Tabela1[#All],11,0)*E645),AND("Venda de produtos",H645="Norte/Centro-Oeste"),(VLOOKUP(C645,Tabela1[#All],13,0)*E645))))))</f>
        <v/>
      </c>
      <c r="G645" s="16" t="str">
        <f>IF(B645="Compra de estoque",VLOOKUP(C645,Tabela1[#All],4,0)*E645,"")</f>
        <v/>
      </c>
      <c r="H645" s="16"/>
    </row>
    <row r="646" spans="1:8" x14ac:dyDescent="0.25">
      <c r="A646" s="14" t="str">
        <f t="shared" ca="1" si="10"/>
        <v/>
      </c>
      <c r="D646" s="15" t="str">
        <f>IF(C646="","",VLOOKUP(C646,Tabela1[#All],2,0))</f>
        <v/>
      </c>
      <c r="F646" s="16" t="str" cm="1">
        <f t="array" ref="F646">IF(B646="","",(IF(B646="Compra de estoque","",(_xlfn.IFS(AND(B646="Venda de produtos",H646="Sul/Sudeste"),(VLOOKUP(C646,Tabela1[#All],9,0)*E646),AND(B646="Venda de produtos",H646="Nordeste"),(VLOOKUP(C646,Tabela1[#All],11,0)*E646),AND("Venda de produtos",H646="Norte/Centro-Oeste"),(VLOOKUP(C646,Tabela1[#All],13,0)*E646))))))</f>
        <v/>
      </c>
      <c r="G646" s="16" t="str">
        <f>IF(B646="Compra de estoque",VLOOKUP(C646,Tabela1[#All],4,0)*E646,"")</f>
        <v/>
      </c>
      <c r="H646" s="16"/>
    </row>
    <row r="647" spans="1:8" x14ac:dyDescent="0.25">
      <c r="A647" s="14" t="str">
        <f t="shared" ca="1" si="10"/>
        <v/>
      </c>
      <c r="D647" s="15" t="str">
        <f>IF(C647="","",VLOOKUP(C647,Tabela1[#All],2,0))</f>
        <v/>
      </c>
      <c r="F647" s="16" t="str" cm="1">
        <f t="array" ref="F647">IF(B647="","",(IF(B647="Compra de estoque","",(_xlfn.IFS(AND(B647="Venda de produtos",H647="Sul/Sudeste"),(VLOOKUP(C647,Tabela1[#All],9,0)*E647),AND(B647="Venda de produtos",H647="Nordeste"),(VLOOKUP(C647,Tabela1[#All],11,0)*E647),AND("Venda de produtos",H647="Norte/Centro-Oeste"),(VLOOKUP(C647,Tabela1[#All],13,0)*E647))))))</f>
        <v/>
      </c>
      <c r="G647" s="16" t="str">
        <f>IF(B647="Compra de estoque",VLOOKUP(C647,Tabela1[#All],4,0)*E647,"")</f>
        <v/>
      </c>
      <c r="H647" s="16"/>
    </row>
    <row r="648" spans="1:8" x14ac:dyDescent="0.25">
      <c r="A648" s="14" t="str">
        <f t="shared" ca="1" si="10"/>
        <v/>
      </c>
      <c r="D648" s="15" t="str">
        <f>IF(C648="","",VLOOKUP(C648,Tabela1[#All],2,0))</f>
        <v/>
      </c>
      <c r="F648" s="16" t="str" cm="1">
        <f t="array" ref="F648">IF(B648="","",(IF(B648="Compra de estoque","",(_xlfn.IFS(AND(B648="Venda de produtos",H648="Sul/Sudeste"),(VLOOKUP(C648,Tabela1[#All],9,0)*E648),AND(B648="Venda de produtos",H648="Nordeste"),(VLOOKUP(C648,Tabela1[#All],11,0)*E648),AND("Venda de produtos",H648="Norte/Centro-Oeste"),(VLOOKUP(C648,Tabela1[#All],13,0)*E648))))))</f>
        <v/>
      </c>
      <c r="G648" s="16" t="str">
        <f>IF(B648="Compra de estoque",VLOOKUP(C648,Tabela1[#All],4,0)*E648,"")</f>
        <v/>
      </c>
      <c r="H648" s="16"/>
    </row>
    <row r="649" spans="1:8" x14ac:dyDescent="0.25">
      <c r="A649" s="14" t="str">
        <f t="shared" ca="1" si="10"/>
        <v/>
      </c>
      <c r="D649" s="15" t="str">
        <f>IF(C649="","",VLOOKUP(C649,Tabela1[#All],2,0))</f>
        <v/>
      </c>
      <c r="F649" s="16" t="str" cm="1">
        <f t="array" ref="F649">IF(B649="","",(IF(B649="Compra de estoque","",(_xlfn.IFS(AND(B649="Venda de produtos",H649="Sul/Sudeste"),(VLOOKUP(C649,Tabela1[#All],9,0)*E649),AND(B649="Venda de produtos",H649="Nordeste"),(VLOOKUP(C649,Tabela1[#All],11,0)*E649),AND("Venda de produtos",H649="Norte/Centro-Oeste"),(VLOOKUP(C649,Tabela1[#All],13,0)*E649))))))</f>
        <v/>
      </c>
      <c r="G649" s="16" t="str">
        <f>IF(B649="Compra de estoque",VLOOKUP(C649,Tabela1[#All],4,0)*E649,"")</f>
        <v/>
      </c>
      <c r="H649" s="16"/>
    </row>
    <row r="650" spans="1:8" x14ac:dyDescent="0.25">
      <c r="A650" s="14" t="str">
        <f t="shared" ca="1" si="10"/>
        <v/>
      </c>
      <c r="D650" s="15" t="str">
        <f>IF(C650="","",VLOOKUP(C650,Tabela1[#All],2,0))</f>
        <v/>
      </c>
      <c r="F650" s="16" t="str" cm="1">
        <f t="array" ref="F650">IF(B650="","",(IF(B650="Compra de estoque","",(_xlfn.IFS(AND(B650="Venda de produtos",H650="Sul/Sudeste"),(VLOOKUP(C650,Tabela1[#All],9,0)*E650),AND(B650="Venda de produtos",H650="Nordeste"),(VLOOKUP(C650,Tabela1[#All],11,0)*E650),AND("Venda de produtos",H650="Norte/Centro-Oeste"),(VLOOKUP(C650,Tabela1[#All],13,0)*E650))))))</f>
        <v/>
      </c>
      <c r="G650" s="16" t="str">
        <f>IF(B650="Compra de estoque",VLOOKUP(C650,Tabela1[#All],4,0)*E650,"")</f>
        <v/>
      </c>
      <c r="H650" s="16"/>
    </row>
    <row r="651" spans="1:8" x14ac:dyDescent="0.25">
      <c r="A651" s="14" t="str">
        <f t="shared" ca="1" si="10"/>
        <v/>
      </c>
      <c r="D651" s="15" t="str">
        <f>IF(C651="","",VLOOKUP(C651,Tabela1[#All],2,0))</f>
        <v/>
      </c>
      <c r="F651" s="16" t="str" cm="1">
        <f t="array" ref="F651">IF(B651="","",(IF(B651="Compra de estoque","",(_xlfn.IFS(AND(B651="Venda de produtos",H651="Sul/Sudeste"),(VLOOKUP(C651,Tabela1[#All],9,0)*E651),AND(B651="Venda de produtos",H651="Nordeste"),(VLOOKUP(C651,Tabela1[#All],11,0)*E651),AND("Venda de produtos",H651="Norte/Centro-Oeste"),(VLOOKUP(C651,Tabela1[#All],13,0)*E651))))))</f>
        <v/>
      </c>
      <c r="G651" s="16" t="str">
        <f>IF(B651="Compra de estoque",VLOOKUP(C651,Tabela1[#All],4,0)*E651,"")</f>
        <v/>
      </c>
      <c r="H651" s="16"/>
    </row>
    <row r="652" spans="1:8" x14ac:dyDescent="0.25">
      <c r="A652" s="14" t="str">
        <f t="shared" ca="1" si="10"/>
        <v/>
      </c>
      <c r="D652" s="15" t="str">
        <f>IF(C652="","",VLOOKUP(C652,Tabela1[#All],2,0))</f>
        <v/>
      </c>
      <c r="F652" s="16" t="str" cm="1">
        <f t="array" ref="F652">IF(B652="","",(IF(B652="Compra de estoque","",(_xlfn.IFS(AND(B652="Venda de produtos",H652="Sul/Sudeste"),(VLOOKUP(C652,Tabela1[#All],9,0)*E652),AND(B652="Venda de produtos",H652="Nordeste"),(VLOOKUP(C652,Tabela1[#All],11,0)*E652),AND("Venda de produtos",H652="Norte/Centro-Oeste"),(VLOOKUP(C652,Tabela1[#All],13,0)*E652))))))</f>
        <v/>
      </c>
      <c r="G652" s="16" t="str">
        <f>IF(B652="Compra de estoque",VLOOKUP(C652,Tabela1[#All],4,0)*E652,"")</f>
        <v/>
      </c>
      <c r="H652" s="16"/>
    </row>
    <row r="653" spans="1:8" x14ac:dyDescent="0.25">
      <c r="A653" s="14" t="str">
        <f t="shared" ca="1" si="10"/>
        <v/>
      </c>
      <c r="D653" s="15" t="str">
        <f>IF(C653="","",VLOOKUP(C653,Tabela1[#All],2,0))</f>
        <v/>
      </c>
      <c r="F653" s="16" t="str" cm="1">
        <f t="array" ref="F653">IF(B653="","",(IF(B653="Compra de estoque","",(_xlfn.IFS(AND(B653="Venda de produtos",H653="Sul/Sudeste"),(VLOOKUP(C653,Tabela1[#All],9,0)*E653),AND(B653="Venda de produtos",H653="Nordeste"),(VLOOKUP(C653,Tabela1[#All],11,0)*E653),AND("Venda de produtos",H653="Norte/Centro-Oeste"),(VLOOKUP(C653,Tabela1[#All],13,0)*E653))))))</f>
        <v/>
      </c>
      <c r="G653" s="16" t="str">
        <f>IF(B653="Compra de estoque",VLOOKUP(C653,Tabela1[#All],4,0)*E653,"")</f>
        <v/>
      </c>
      <c r="H653" s="16"/>
    </row>
    <row r="654" spans="1:8" x14ac:dyDescent="0.25">
      <c r="A654" s="14" t="str">
        <f t="shared" ca="1" si="10"/>
        <v/>
      </c>
      <c r="D654" s="15" t="str">
        <f>IF(C654="","",VLOOKUP(C654,Tabela1[#All],2,0))</f>
        <v/>
      </c>
      <c r="F654" s="16" t="str" cm="1">
        <f t="array" ref="F654">IF(B654="","",(IF(B654="Compra de estoque","",(_xlfn.IFS(AND(B654="Venda de produtos",H654="Sul/Sudeste"),(VLOOKUP(C654,Tabela1[#All],9,0)*E654),AND(B654="Venda de produtos",H654="Nordeste"),(VLOOKUP(C654,Tabela1[#All],11,0)*E654),AND("Venda de produtos",H654="Norte/Centro-Oeste"),(VLOOKUP(C654,Tabela1[#All],13,0)*E654))))))</f>
        <v/>
      </c>
      <c r="G654" s="16" t="str">
        <f>IF(B654="Compra de estoque",VLOOKUP(C654,Tabela1[#All],4,0)*E654,"")</f>
        <v/>
      </c>
      <c r="H654" s="16"/>
    </row>
    <row r="655" spans="1:8" x14ac:dyDescent="0.25">
      <c r="A655" s="14" t="str">
        <f t="shared" ca="1" si="10"/>
        <v/>
      </c>
      <c r="D655" s="15" t="str">
        <f>IF(C655="","",VLOOKUP(C655,Tabela1[#All],2,0))</f>
        <v/>
      </c>
      <c r="F655" s="16" t="str" cm="1">
        <f t="array" ref="F655">IF(B655="","",(IF(B655="Compra de estoque","",(_xlfn.IFS(AND(B655="Venda de produtos",H655="Sul/Sudeste"),(VLOOKUP(C655,Tabela1[#All],9,0)*E655),AND(B655="Venda de produtos",H655="Nordeste"),(VLOOKUP(C655,Tabela1[#All],11,0)*E655),AND("Venda de produtos",H655="Norte/Centro-Oeste"),(VLOOKUP(C655,Tabela1[#All],13,0)*E655))))))</f>
        <v/>
      </c>
      <c r="G655" s="16" t="str">
        <f>IF(B655="Compra de estoque",VLOOKUP(C655,Tabela1[#All],4,0)*E655,"")</f>
        <v/>
      </c>
      <c r="H655" s="16"/>
    </row>
    <row r="656" spans="1:8" x14ac:dyDescent="0.25">
      <c r="A656" s="14" t="str">
        <f t="shared" ca="1" si="10"/>
        <v/>
      </c>
      <c r="D656" s="15" t="str">
        <f>IF(C656="","",VLOOKUP(C656,Tabela1[#All],2,0))</f>
        <v/>
      </c>
      <c r="F656" s="16" t="str" cm="1">
        <f t="array" ref="F656">IF(B656="","",(IF(B656="Compra de estoque","",(_xlfn.IFS(AND(B656="Venda de produtos",H656="Sul/Sudeste"),(VLOOKUP(C656,Tabela1[#All],9,0)*E656),AND(B656="Venda de produtos",H656="Nordeste"),(VLOOKUP(C656,Tabela1[#All],11,0)*E656),AND("Venda de produtos",H656="Norte/Centro-Oeste"),(VLOOKUP(C656,Tabela1[#All],13,0)*E656))))))</f>
        <v/>
      </c>
      <c r="G656" s="16" t="str">
        <f>IF(B656="Compra de estoque",VLOOKUP(C656,Tabela1[#All],4,0)*E656,"")</f>
        <v/>
      </c>
      <c r="H656" s="16"/>
    </row>
    <row r="657" spans="1:8" x14ac:dyDescent="0.25">
      <c r="A657" s="14" t="str">
        <f t="shared" ca="1" si="10"/>
        <v/>
      </c>
      <c r="D657" s="15" t="str">
        <f>IF(C657="","",VLOOKUP(C657,Tabela1[#All],2,0))</f>
        <v/>
      </c>
      <c r="F657" s="16" t="str" cm="1">
        <f t="array" ref="F657">IF(B657="","",(IF(B657="Compra de estoque","",(_xlfn.IFS(AND(B657="Venda de produtos",H657="Sul/Sudeste"),(VLOOKUP(C657,Tabela1[#All],9,0)*E657),AND(B657="Venda de produtos",H657="Nordeste"),(VLOOKUP(C657,Tabela1[#All],11,0)*E657),AND("Venda de produtos",H657="Norte/Centro-Oeste"),(VLOOKUP(C657,Tabela1[#All],13,0)*E657))))))</f>
        <v/>
      </c>
      <c r="G657" s="16" t="str">
        <f>IF(B657="Compra de estoque",VLOOKUP(C657,Tabela1[#All],4,0)*E657,"")</f>
        <v/>
      </c>
      <c r="H657" s="16"/>
    </row>
    <row r="658" spans="1:8" x14ac:dyDescent="0.25">
      <c r="A658" s="14" t="str">
        <f t="shared" ca="1" si="10"/>
        <v/>
      </c>
      <c r="D658" s="15" t="str">
        <f>IF(C658="","",VLOOKUP(C658,Tabela1[#All],2,0))</f>
        <v/>
      </c>
      <c r="F658" s="16" t="str" cm="1">
        <f t="array" ref="F658">IF(B658="","",(IF(B658="Compra de estoque","",(_xlfn.IFS(AND(B658="Venda de produtos",H658="Sul/Sudeste"),(VLOOKUP(C658,Tabela1[#All],9,0)*E658),AND(B658="Venda de produtos",H658="Nordeste"),(VLOOKUP(C658,Tabela1[#All],11,0)*E658),AND("Venda de produtos",H658="Norte/Centro-Oeste"),(VLOOKUP(C658,Tabela1[#All],13,0)*E658))))))</f>
        <v/>
      </c>
      <c r="G658" s="16" t="str">
        <f>IF(B658="Compra de estoque",VLOOKUP(C658,Tabela1[#All],4,0)*E658,"")</f>
        <v/>
      </c>
      <c r="H658" s="16"/>
    </row>
    <row r="659" spans="1:8" x14ac:dyDescent="0.25">
      <c r="A659" s="14" t="str">
        <f t="shared" ca="1" si="10"/>
        <v/>
      </c>
      <c r="D659" s="15" t="str">
        <f>IF(C659="","",VLOOKUP(C659,Tabela1[#All],2,0))</f>
        <v/>
      </c>
      <c r="F659" s="16" t="str" cm="1">
        <f t="array" ref="F659">IF(B659="","",(IF(B659="Compra de estoque","",(_xlfn.IFS(AND(B659="Venda de produtos",H659="Sul/Sudeste"),(VLOOKUP(C659,Tabela1[#All],9,0)*E659),AND(B659="Venda de produtos",H659="Nordeste"),(VLOOKUP(C659,Tabela1[#All],11,0)*E659),AND("Venda de produtos",H659="Norte/Centro-Oeste"),(VLOOKUP(C659,Tabela1[#All],13,0)*E659))))))</f>
        <v/>
      </c>
      <c r="G659" s="16" t="str">
        <f>IF(B659="Compra de estoque",VLOOKUP(C659,Tabela1[#All],4,0)*E659,"")</f>
        <v/>
      </c>
      <c r="H659" s="16"/>
    </row>
    <row r="660" spans="1:8" x14ac:dyDescent="0.25">
      <c r="A660" s="14" t="str">
        <f t="shared" ca="1" si="10"/>
        <v/>
      </c>
      <c r="D660" s="15" t="str">
        <f>IF(C660="","",VLOOKUP(C660,Tabela1[#All],2,0))</f>
        <v/>
      </c>
      <c r="F660" s="16" t="str" cm="1">
        <f t="array" ref="F660">IF(B660="","",(IF(B660="Compra de estoque","",(_xlfn.IFS(AND(B660="Venda de produtos",H660="Sul/Sudeste"),(VLOOKUP(C660,Tabela1[#All],9,0)*E660),AND(B660="Venda de produtos",H660="Nordeste"),(VLOOKUP(C660,Tabela1[#All],11,0)*E660),AND("Venda de produtos",H660="Norte/Centro-Oeste"),(VLOOKUP(C660,Tabela1[#All],13,0)*E660))))))</f>
        <v/>
      </c>
      <c r="G660" s="16" t="str">
        <f>IF(B660="Compra de estoque",VLOOKUP(C660,Tabela1[#All],4,0)*E660,"")</f>
        <v/>
      </c>
      <c r="H660" s="16"/>
    </row>
    <row r="661" spans="1:8" x14ac:dyDescent="0.25">
      <c r="A661" s="14" t="str">
        <f t="shared" ca="1" si="10"/>
        <v/>
      </c>
      <c r="D661" s="15" t="str">
        <f>IF(C661="","",VLOOKUP(C661,Tabela1[#All],2,0))</f>
        <v/>
      </c>
      <c r="F661" s="16" t="str" cm="1">
        <f t="array" ref="F661">IF(B661="","",(IF(B661="Compra de estoque","",(_xlfn.IFS(AND(B661="Venda de produtos",H661="Sul/Sudeste"),(VLOOKUP(C661,Tabela1[#All],9,0)*E661),AND(B661="Venda de produtos",H661="Nordeste"),(VLOOKUP(C661,Tabela1[#All],11,0)*E661),AND("Venda de produtos",H661="Norte/Centro-Oeste"),(VLOOKUP(C661,Tabela1[#All],13,0)*E661))))))</f>
        <v/>
      </c>
      <c r="G661" s="16" t="str">
        <f>IF(B661="Compra de estoque",VLOOKUP(C661,Tabela1[#All],4,0)*E661,"")</f>
        <v/>
      </c>
      <c r="H661" s="16"/>
    </row>
    <row r="662" spans="1:8" x14ac:dyDescent="0.25">
      <c r="A662" s="14" t="str">
        <f t="shared" ca="1" si="10"/>
        <v/>
      </c>
      <c r="D662" s="15" t="str">
        <f>IF(C662="","",VLOOKUP(C662,Tabela1[#All],2,0))</f>
        <v/>
      </c>
      <c r="F662" s="16" t="str" cm="1">
        <f t="array" ref="F662">IF(B662="","",(IF(B662="Compra de estoque","",(_xlfn.IFS(AND(B662="Venda de produtos",H662="Sul/Sudeste"),(VLOOKUP(C662,Tabela1[#All],9,0)*E662),AND(B662="Venda de produtos",H662="Nordeste"),(VLOOKUP(C662,Tabela1[#All],11,0)*E662),AND("Venda de produtos",H662="Norte/Centro-Oeste"),(VLOOKUP(C662,Tabela1[#All],13,0)*E662))))))</f>
        <v/>
      </c>
      <c r="G662" s="16" t="str">
        <f>IF(B662="Compra de estoque",VLOOKUP(C662,Tabela1[#All],4,0)*E662,"")</f>
        <v/>
      </c>
      <c r="H662" s="16"/>
    </row>
    <row r="663" spans="1:8" x14ac:dyDescent="0.25">
      <c r="A663" s="14" t="str">
        <f t="shared" ca="1" si="10"/>
        <v/>
      </c>
      <c r="D663" s="15" t="str">
        <f>IF(C663="","",VLOOKUP(C663,Tabela1[#All],2,0))</f>
        <v/>
      </c>
      <c r="F663" s="16" t="str" cm="1">
        <f t="array" ref="F663">IF(B663="","",(IF(B663="Compra de estoque","",(_xlfn.IFS(AND(B663="Venda de produtos",H663="Sul/Sudeste"),(VLOOKUP(C663,Tabela1[#All],9,0)*E663),AND(B663="Venda de produtos",H663="Nordeste"),(VLOOKUP(C663,Tabela1[#All],11,0)*E663),AND("Venda de produtos",H663="Norte/Centro-Oeste"),(VLOOKUP(C663,Tabela1[#All],13,0)*E663))))))</f>
        <v/>
      </c>
      <c r="G663" s="16" t="str">
        <f>IF(B663="Compra de estoque",VLOOKUP(C663,Tabela1[#All],4,0)*E663,"")</f>
        <v/>
      </c>
      <c r="H663" s="16"/>
    </row>
    <row r="664" spans="1:8" x14ac:dyDescent="0.25">
      <c r="A664" s="14" t="str">
        <f t="shared" ca="1" si="10"/>
        <v/>
      </c>
      <c r="D664" s="15" t="str">
        <f>IF(C664="","",VLOOKUP(C664,Tabela1[#All],2,0))</f>
        <v/>
      </c>
      <c r="F664" s="16" t="str" cm="1">
        <f t="array" ref="F664">IF(B664="","",(IF(B664="Compra de estoque","",(_xlfn.IFS(AND(B664="Venda de produtos",H664="Sul/Sudeste"),(VLOOKUP(C664,Tabela1[#All],9,0)*E664),AND(B664="Venda de produtos",H664="Nordeste"),(VLOOKUP(C664,Tabela1[#All],11,0)*E664),AND("Venda de produtos",H664="Norte/Centro-Oeste"),(VLOOKUP(C664,Tabela1[#All],13,0)*E664))))))</f>
        <v/>
      </c>
      <c r="G664" s="16" t="str">
        <f>IF(B664="Compra de estoque",VLOOKUP(C664,Tabela1[#All],4,0)*E664,"")</f>
        <v/>
      </c>
      <c r="H664" s="16"/>
    </row>
    <row r="665" spans="1:8" x14ac:dyDescent="0.25">
      <c r="A665" s="14" t="str">
        <f t="shared" ca="1" si="10"/>
        <v/>
      </c>
      <c r="D665" s="15" t="str">
        <f>IF(C665="","",VLOOKUP(C665,Tabela1[#All],2,0))</f>
        <v/>
      </c>
      <c r="F665" s="16" t="str" cm="1">
        <f t="array" ref="F665">IF(B665="","",(IF(B665="Compra de estoque","",(_xlfn.IFS(AND(B665="Venda de produtos",H665="Sul/Sudeste"),(VLOOKUP(C665,Tabela1[#All],9,0)*E665),AND(B665="Venda de produtos",H665="Nordeste"),(VLOOKUP(C665,Tabela1[#All],11,0)*E665),AND("Venda de produtos",H665="Norte/Centro-Oeste"),(VLOOKUP(C665,Tabela1[#All],13,0)*E665))))))</f>
        <v/>
      </c>
      <c r="G665" s="16" t="str">
        <f>IF(B665="Compra de estoque",VLOOKUP(C665,Tabela1[#All],4,0)*E665,"")</f>
        <v/>
      </c>
      <c r="H665" s="16"/>
    </row>
    <row r="666" spans="1:8" x14ac:dyDescent="0.25">
      <c r="A666" s="14" t="str">
        <f t="shared" ca="1" si="10"/>
        <v/>
      </c>
      <c r="D666" s="15" t="str">
        <f>IF(C666="","",VLOOKUP(C666,Tabela1[#All],2,0))</f>
        <v/>
      </c>
      <c r="F666" s="16" t="str" cm="1">
        <f t="array" ref="F666">IF(B666="","",(IF(B666="Compra de estoque","",(_xlfn.IFS(AND(B666="Venda de produtos",H666="Sul/Sudeste"),(VLOOKUP(C666,Tabela1[#All],9,0)*E666),AND(B666="Venda de produtos",H666="Nordeste"),(VLOOKUP(C666,Tabela1[#All],11,0)*E666),AND("Venda de produtos",H666="Norte/Centro-Oeste"),(VLOOKUP(C666,Tabela1[#All],13,0)*E666))))))</f>
        <v/>
      </c>
      <c r="G666" s="16" t="str">
        <f>IF(B666="Compra de estoque",VLOOKUP(C666,Tabela1[#All],4,0)*E666,"")</f>
        <v/>
      </c>
      <c r="H666" s="16"/>
    </row>
    <row r="667" spans="1:8" x14ac:dyDescent="0.25">
      <c r="A667" s="14" t="str">
        <f t="shared" ca="1" si="10"/>
        <v/>
      </c>
      <c r="D667" s="15" t="str">
        <f>IF(C667="","",VLOOKUP(C667,Tabela1[#All],2,0))</f>
        <v/>
      </c>
      <c r="F667" s="16" t="str" cm="1">
        <f t="array" ref="F667">IF(B667="","",(IF(B667="Compra de estoque","",(_xlfn.IFS(AND(B667="Venda de produtos",H667="Sul/Sudeste"),(VLOOKUP(C667,Tabela1[#All],9,0)*E667),AND(B667="Venda de produtos",H667="Nordeste"),(VLOOKUP(C667,Tabela1[#All],11,0)*E667),AND("Venda de produtos",H667="Norte/Centro-Oeste"),(VLOOKUP(C667,Tabela1[#All],13,0)*E667))))))</f>
        <v/>
      </c>
      <c r="G667" s="16" t="str">
        <f>IF(B667="Compra de estoque",VLOOKUP(C667,Tabela1[#All],4,0)*E667,"")</f>
        <v/>
      </c>
      <c r="H667" s="16"/>
    </row>
    <row r="668" spans="1:8" x14ac:dyDescent="0.25">
      <c r="A668" s="14" t="str">
        <f t="shared" ca="1" si="10"/>
        <v/>
      </c>
      <c r="D668" s="15" t="str">
        <f>IF(C668="","",VLOOKUP(C668,Tabela1[#All],2,0))</f>
        <v/>
      </c>
      <c r="F668" s="16" t="str" cm="1">
        <f t="array" ref="F668">IF(B668="","",(IF(B668="Compra de estoque","",(_xlfn.IFS(AND(B668="Venda de produtos",H668="Sul/Sudeste"),(VLOOKUP(C668,Tabela1[#All],9,0)*E668),AND(B668="Venda de produtos",H668="Nordeste"),(VLOOKUP(C668,Tabela1[#All],11,0)*E668),AND("Venda de produtos",H668="Norte/Centro-Oeste"),(VLOOKUP(C668,Tabela1[#All],13,0)*E668))))))</f>
        <v/>
      </c>
      <c r="G668" s="16" t="str">
        <f>IF(B668="Compra de estoque",VLOOKUP(C668,Tabela1[#All],4,0)*E668,"")</f>
        <v/>
      </c>
      <c r="H668" s="16"/>
    </row>
    <row r="669" spans="1:8" x14ac:dyDescent="0.25">
      <c r="A669" s="14" t="str">
        <f t="shared" ca="1" si="10"/>
        <v/>
      </c>
      <c r="D669" s="15" t="str">
        <f>IF(C669="","",VLOOKUP(C669,Tabela1[#All],2,0))</f>
        <v/>
      </c>
      <c r="F669" s="16" t="str" cm="1">
        <f t="array" ref="F669">IF(B669="","",(IF(B669="Compra de estoque","",(_xlfn.IFS(AND(B669="Venda de produtos",H669="Sul/Sudeste"),(VLOOKUP(C669,Tabela1[#All],9,0)*E669),AND(B669="Venda de produtos",H669="Nordeste"),(VLOOKUP(C669,Tabela1[#All],11,0)*E669),AND("Venda de produtos",H669="Norte/Centro-Oeste"),(VLOOKUP(C669,Tabela1[#All],13,0)*E669))))))</f>
        <v/>
      </c>
      <c r="G669" s="16" t="str">
        <f>IF(B669="Compra de estoque",VLOOKUP(C669,Tabela1[#All],4,0)*E669,"")</f>
        <v/>
      </c>
      <c r="H669" s="16"/>
    </row>
    <row r="670" spans="1:8" x14ac:dyDescent="0.25">
      <c r="A670" s="14" t="str">
        <f t="shared" ca="1" si="10"/>
        <v/>
      </c>
      <c r="D670" s="15" t="str">
        <f>IF(C670="","",VLOOKUP(C670,Tabela1[#All],2,0))</f>
        <v/>
      </c>
      <c r="F670" s="16" t="str" cm="1">
        <f t="array" ref="F670">IF(B670="","",(IF(B670="Compra de estoque","",(_xlfn.IFS(AND(B670="Venda de produtos",H670="Sul/Sudeste"),(VLOOKUP(C670,Tabela1[#All],9,0)*E670),AND(B670="Venda de produtos",H670="Nordeste"),(VLOOKUP(C670,Tabela1[#All],11,0)*E670),AND("Venda de produtos",H670="Norte/Centro-Oeste"),(VLOOKUP(C670,Tabela1[#All],13,0)*E670))))))</f>
        <v/>
      </c>
      <c r="G670" s="16" t="str">
        <f>IF(B670="Compra de estoque",VLOOKUP(C670,Tabela1[#All],4,0)*E670,"")</f>
        <v/>
      </c>
      <c r="H670" s="16"/>
    </row>
    <row r="671" spans="1:8" x14ac:dyDescent="0.25">
      <c r="A671" s="14" t="str">
        <f t="shared" ca="1" si="10"/>
        <v/>
      </c>
      <c r="D671" s="15" t="str">
        <f>IF(C671="","",VLOOKUP(C671,Tabela1[#All],2,0))</f>
        <v/>
      </c>
      <c r="F671" s="16" t="str" cm="1">
        <f t="array" ref="F671">IF(B671="","",(IF(B671="Compra de estoque","",(_xlfn.IFS(AND(B671="Venda de produtos",H671="Sul/Sudeste"),(VLOOKUP(C671,Tabela1[#All],9,0)*E671),AND(B671="Venda de produtos",H671="Nordeste"),(VLOOKUP(C671,Tabela1[#All],11,0)*E671),AND("Venda de produtos",H671="Norte/Centro-Oeste"),(VLOOKUP(C671,Tabela1[#All],13,0)*E671))))))</f>
        <v/>
      </c>
      <c r="G671" s="16" t="str">
        <f>IF(B671="Compra de estoque",VLOOKUP(C671,Tabela1[#All],4,0)*E671,"")</f>
        <v/>
      </c>
      <c r="H671" s="16"/>
    </row>
    <row r="672" spans="1:8" x14ac:dyDescent="0.25">
      <c r="A672" s="14" t="str">
        <f t="shared" ca="1" si="10"/>
        <v/>
      </c>
      <c r="D672" s="15" t="str">
        <f>IF(C672="","",VLOOKUP(C672,Tabela1[#All],2,0))</f>
        <v/>
      </c>
      <c r="F672" s="16" t="str" cm="1">
        <f t="array" ref="F672">IF(B672="","",(IF(B672="Compra de estoque","",(_xlfn.IFS(AND(B672="Venda de produtos",H672="Sul/Sudeste"),(VLOOKUP(C672,Tabela1[#All],9,0)*E672),AND(B672="Venda de produtos",H672="Nordeste"),(VLOOKUP(C672,Tabela1[#All],11,0)*E672),AND("Venda de produtos",H672="Norte/Centro-Oeste"),(VLOOKUP(C672,Tabela1[#All],13,0)*E672))))))</f>
        <v/>
      </c>
      <c r="G672" s="16" t="str">
        <f>IF(B672="Compra de estoque",VLOOKUP(C672,Tabela1[#All],4,0)*E672,"")</f>
        <v/>
      </c>
      <c r="H672" s="16"/>
    </row>
    <row r="673" spans="1:8" x14ac:dyDescent="0.25">
      <c r="A673" s="14" t="str">
        <f t="shared" ca="1" si="10"/>
        <v/>
      </c>
      <c r="D673" s="15" t="str">
        <f>IF(C673="","",VLOOKUP(C673,Tabela1[#All],2,0))</f>
        <v/>
      </c>
      <c r="F673" s="16" t="str" cm="1">
        <f t="array" ref="F673">IF(B673="","",(IF(B673="Compra de estoque","",(_xlfn.IFS(AND(B673="Venda de produtos",H673="Sul/Sudeste"),(VLOOKUP(C673,Tabela1[#All],9,0)*E673),AND(B673="Venda de produtos",H673="Nordeste"),(VLOOKUP(C673,Tabela1[#All],11,0)*E673),AND("Venda de produtos",H673="Norte/Centro-Oeste"),(VLOOKUP(C673,Tabela1[#All],13,0)*E673))))))</f>
        <v/>
      </c>
      <c r="G673" s="16" t="str">
        <f>IF(B673="Compra de estoque",VLOOKUP(C673,Tabela1[#All],4,0)*E673,"")</f>
        <v/>
      </c>
      <c r="H673" s="16"/>
    </row>
    <row r="674" spans="1:8" x14ac:dyDescent="0.25">
      <c r="A674" s="14" t="str">
        <f t="shared" ca="1" si="10"/>
        <v/>
      </c>
      <c r="D674" s="15" t="str">
        <f>IF(C674="","",VLOOKUP(C674,Tabela1[#All],2,0))</f>
        <v/>
      </c>
      <c r="F674" s="16" t="str" cm="1">
        <f t="array" ref="F674">IF(B674="","",(IF(B674="Compra de estoque","",(_xlfn.IFS(AND(B674="Venda de produtos",H674="Sul/Sudeste"),(VLOOKUP(C674,Tabela1[#All],9,0)*E674),AND(B674="Venda de produtos",H674="Nordeste"),(VLOOKUP(C674,Tabela1[#All],11,0)*E674),AND("Venda de produtos",H674="Norte/Centro-Oeste"),(VLOOKUP(C674,Tabela1[#All],13,0)*E674))))))</f>
        <v/>
      </c>
      <c r="G674" s="16" t="str">
        <f>IF(B674="Compra de estoque",VLOOKUP(C674,Tabela1[#All],4,0)*E674,"")</f>
        <v/>
      </c>
      <c r="H674" s="16"/>
    </row>
    <row r="675" spans="1:8" x14ac:dyDescent="0.25">
      <c r="A675" s="14" t="str">
        <f t="shared" ca="1" si="10"/>
        <v/>
      </c>
      <c r="D675" s="15" t="str">
        <f>IF(C675="","",VLOOKUP(C675,Tabela1[#All],2,0))</f>
        <v/>
      </c>
      <c r="F675" s="16" t="str" cm="1">
        <f t="array" ref="F675">IF(B675="","",(IF(B675="Compra de estoque","",(_xlfn.IFS(AND(B675="Venda de produtos",H675="Sul/Sudeste"),(VLOOKUP(C675,Tabela1[#All],9,0)*E675),AND(B675="Venda de produtos",H675="Nordeste"),(VLOOKUP(C675,Tabela1[#All],11,0)*E675),AND("Venda de produtos",H675="Norte/Centro-Oeste"),(VLOOKUP(C675,Tabela1[#All],13,0)*E675))))))</f>
        <v/>
      </c>
      <c r="G675" s="16" t="str">
        <f>IF(B675="Compra de estoque",VLOOKUP(C675,Tabela1[#All],4,0)*E675,"")</f>
        <v/>
      </c>
      <c r="H675" s="16"/>
    </row>
    <row r="676" spans="1:8" x14ac:dyDescent="0.25">
      <c r="A676" s="14" t="str">
        <f t="shared" ca="1" si="10"/>
        <v/>
      </c>
      <c r="D676" s="15" t="str">
        <f>IF(C676="","",VLOOKUP(C676,Tabela1[#All],2,0))</f>
        <v/>
      </c>
      <c r="F676" s="16" t="str" cm="1">
        <f t="array" ref="F676">IF(B676="","",(IF(B676="Compra de estoque","",(_xlfn.IFS(AND(B676="Venda de produtos",H676="Sul/Sudeste"),(VLOOKUP(C676,Tabela1[#All],9,0)*E676),AND(B676="Venda de produtos",H676="Nordeste"),(VLOOKUP(C676,Tabela1[#All],11,0)*E676),AND("Venda de produtos",H676="Norte/Centro-Oeste"),(VLOOKUP(C676,Tabela1[#All],13,0)*E676))))))</f>
        <v/>
      </c>
      <c r="G676" s="16" t="str">
        <f>IF(B676="Compra de estoque",VLOOKUP(C676,Tabela1[#All],4,0)*E676,"")</f>
        <v/>
      </c>
      <c r="H676" s="16"/>
    </row>
    <row r="677" spans="1:8" x14ac:dyDescent="0.25">
      <c r="A677" s="14" t="str">
        <f t="shared" ca="1" si="10"/>
        <v/>
      </c>
      <c r="D677" s="15" t="str">
        <f>IF(C677="","",VLOOKUP(C677,Tabela1[#All],2,0))</f>
        <v/>
      </c>
      <c r="F677" s="16" t="str" cm="1">
        <f t="array" ref="F677">IF(B677="","",(IF(B677="Compra de estoque","",(_xlfn.IFS(AND(B677="Venda de produtos",H677="Sul/Sudeste"),(VLOOKUP(C677,Tabela1[#All],9,0)*E677),AND(B677="Venda de produtos",H677="Nordeste"),(VLOOKUP(C677,Tabela1[#All],11,0)*E677),AND("Venda de produtos",H677="Norte/Centro-Oeste"),(VLOOKUP(C677,Tabela1[#All],13,0)*E677))))))</f>
        <v/>
      </c>
      <c r="G677" s="16" t="str">
        <f>IF(B677="Compra de estoque",VLOOKUP(C677,Tabela1[#All],4,0)*E677,"")</f>
        <v/>
      </c>
      <c r="H677" s="16"/>
    </row>
    <row r="678" spans="1:8" x14ac:dyDescent="0.25">
      <c r="A678" s="14" t="str">
        <f t="shared" ca="1" si="10"/>
        <v/>
      </c>
      <c r="D678" s="15" t="str">
        <f>IF(C678="","",VLOOKUP(C678,Tabela1[#All],2,0))</f>
        <v/>
      </c>
      <c r="F678" s="16" t="str" cm="1">
        <f t="array" ref="F678">IF(B678="","",(IF(B678="Compra de estoque","",(_xlfn.IFS(AND(B678="Venda de produtos",H678="Sul/Sudeste"),(VLOOKUP(C678,Tabela1[#All],9,0)*E678),AND(B678="Venda de produtos",H678="Nordeste"),(VLOOKUP(C678,Tabela1[#All],11,0)*E678),AND("Venda de produtos",H678="Norte/Centro-Oeste"),(VLOOKUP(C678,Tabela1[#All],13,0)*E678))))))</f>
        <v/>
      </c>
      <c r="G678" s="16" t="str">
        <f>IF(B678="Compra de estoque",VLOOKUP(C678,Tabela1[#All],4,0)*E678,"")</f>
        <v/>
      </c>
      <c r="H678" s="16"/>
    </row>
    <row r="679" spans="1:8" x14ac:dyDescent="0.25">
      <c r="A679" s="14" t="str">
        <f t="shared" ca="1" si="10"/>
        <v/>
      </c>
      <c r="D679" s="15" t="str">
        <f>IF(C679="","",VLOOKUP(C679,Tabela1[#All],2,0))</f>
        <v/>
      </c>
      <c r="F679" s="16" t="str" cm="1">
        <f t="array" ref="F679">IF(B679="","",(IF(B679="Compra de estoque","",(_xlfn.IFS(AND(B679="Venda de produtos",H679="Sul/Sudeste"),(VLOOKUP(C679,Tabela1[#All],9,0)*E679),AND(B679="Venda de produtos",H679="Nordeste"),(VLOOKUP(C679,Tabela1[#All],11,0)*E679),AND("Venda de produtos",H679="Norte/Centro-Oeste"),(VLOOKUP(C679,Tabela1[#All],13,0)*E679))))))</f>
        <v/>
      </c>
      <c r="G679" s="16" t="str">
        <f>IF(B679="Compra de estoque",VLOOKUP(C679,Tabela1[#All],4,0)*E679,"")</f>
        <v/>
      </c>
      <c r="H679" s="16"/>
    </row>
    <row r="680" spans="1:8" x14ac:dyDescent="0.25">
      <c r="A680" s="14" t="str">
        <f t="shared" ca="1" si="10"/>
        <v/>
      </c>
      <c r="D680" s="15" t="str">
        <f>IF(C680="","",VLOOKUP(C680,Tabela1[#All],2,0))</f>
        <v/>
      </c>
      <c r="F680" s="16" t="str" cm="1">
        <f t="array" ref="F680">IF(B680="","",(IF(B680="Compra de estoque","",(_xlfn.IFS(AND(B680="Venda de produtos",H680="Sul/Sudeste"),(VLOOKUP(C680,Tabela1[#All],9,0)*E680),AND(B680="Venda de produtos",H680="Nordeste"),(VLOOKUP(C680,Tabela1[#All],11,0)*E680),AND("Venda de produtos",H680="Norte/Centro-Oeste"),(VLOOKUP(C680,Tabela1[#All],13,0)*E680))))))</f>
        <v/>
      </c>
      <c r="G680" s="16" t="str">
        <f>IF(B680="Compra de estoque",VLOOKUP(C680,Tabela1[#All],4,0)*E680,"")</f>
        <v/>
      </c>
      <c r="H680" s="16"/>
    </row>
    <row r="681" spans="1:8" x14ac:dyDescent="0.25">
      <c r="A681" s="14" t="str">
        <f t="shared" ca="1" si="10"/>
        <v/>
      </c>
      <c r="D681" s="15" t="str">
        <f>IF(C681="","",VLOOKUP(C681,Tabela1[#All],2,0))</f>
        <v/>
      </c>
      <c r="F681" s="16" t="str" cm="1">
        <f t="array" ref="F681">IF(B681="","",(IF(B681="Compra de estoque","",(_xlfn.IFS(AND(B681="Venda de produtos",H681="Sul/Sudeste"),(VLOOKUP(C681,Tabela1[#All],9,0)*E681),AND(B681="Venda de produtos",H681="Nordeste"),(VLOOKUP(C681,Tabela1[#All],11,0)*E681),AND("Venda de produtos",H681="Norte/Centro-Oeste"),(VLOOKUP(C681,Tabela1[#All],13,0)*E681))))))</f>
        <v/>
      </c>
      <c r="G681" s="16" t="str">
        <f>IF(B681="Compra de estoque",VLOOKUP(C681,Tabela1[#All],4,0)*E681,"")</f>
        <v/>
      </c>
      <c r="H681" s="16"/>
    </row>
    <row r="682" spans="1:8" x14ac:dyDescent="0.25">
      <c r="A682" s="14" t="str">
        <f t="shared" ca="1" si="10"/>
        <v/>
      </c>
      <c r="D682" s="15" t="str">
        <f>IF(C682="","",VLOOKUP(C682,Tabela1[#All],2,0))</f>
        <v/>
      </c>
      <c r="F682" s="16" t="str" cm="1">
        <f t="array" ref="F682">IF(B682="","",(IF(B682="Compra de estoque","",(_xlfn.IFS(AND(B682="Venda de produtos",H682="Sul/Sudeste"),(VLOOKUP(C682,Tabela1[#All],9,0)*E682),AND(B682="Venda de produtos",H682="Nordeste"),(VLOOKUP(C682,Tabela1[#All],11,0)*E682),AND("Venda de produtos",H682="Norte/Centro-Oeste"),(VLOOKUP(C682,Tabela1[#All],13,0)*E682))))))</f>
        <v/>
      </c>
      <c r="G682" s="16" t="str">
        <f>IF(B682="Compra de estoque",VLOOKUP(C682,Tabela1[#All],4,0)*E682,"")</f>
        <v/>
      </c>
      <c r="H682" s="16"/>
    </row>
    <row r="683" spans="1:8" x14ac:dyDescent="0.25">
      <c r="A683" s="14" t="str">
        <f t="shared" ca="1" si="10"/>
        <v/>
      </c>
      <c r="D683" s="15" t="str">
        <f>IF(C683="","",VLOOKUP(C683,Tabela1[#All],2,0))</f>
        <v/>
      </c>
      <c r="F683" s="16" t="str" cm="1">
        <f t="array" ref="F683">IF(B683="","",(IF(B683="Compra de estoque","",(_xlfn.IFS(AND(B683="Venda de produtos",H683="Sul/Sudeste"),(VLOOKUP(C683,Tabela1[#All],9,0)*E683),AND(B683="Venda de produtos",H683="Nordeste"),(VLOOKUP(C683,Tabela1[#All],11,0)*E683),AND("Venda de produtos",H683="Norte/Centro-Oeste"),(VLOOKUP(C683,Tabela1[#All],13,0)*E683))))))</f>
        <v/>
      </c>
      <c r="G683" s="16" t="str">
        <f>IF(B683="Compra de estoque",VLOOKUP(C683,Tabela1[#All],4,0)*E683,"")</f>
        <v/>
      </c>
      <c r="H683" s="16"/>
    </row>
    <row r="684" spans="1:8" x14ac:dyDescent="0.25">
      <c r="A684" s="14" t="str">
        <f t="shared" ca="1" si="10"/>
        <v/>
      </c>
      <c r="D684" s="15" t="str">
        <f>IF(C684="","",VLOOKUP(C684,Tabela1[#All],2,0))</f>
        <v/>
      </c>
      <c r="F684" s="16" t="str" cm="1">
        <f t="array" ref="F684">IF(B684="","",(IF(B684="Compra de estoque","",(_xlfn.IFS(AND(B684="Venda de produtos",H684="Sul/Sudeste"),(VLOOKUP(C684,Tabela1[#All],9,0)*E684),AND(B684="Venda de produtos",H684="Nordeste"),(VLOOKUP(C684,Tabela1[#All],11,0)*E684),AND("Venda de produtos",H684="Norte/Centro-Oeste"),(VLOOKUP(C684,Tabela1[#All],13,0)*E684))))))</f>
        <v/>
      </c>
      <c r="G684" s="16" t="str">
        <f>IF(B684="Compra de estoque",VLOOKUP(C684,Tabela1[#All],4,0)*E684,"")</f>
        <v/>
      </c>
      <c r="H684" s="16"/>
    </row>
    <row r="685" spans="1:8" x14ac:dyDescent="0.25">
      <c r="A685" s="14" t="str">
        <f t="shared" ca="1" si="10"/>
        <v/>
      </c>
      <c r="D685" s="15" t="str">
        <f>IF(C685="","",VLOOKUP(C685,Tabela1[#All],2,0))</f>
        <v/>
      </c>
      <c r="F685" s="16" t="str" cm="1">
        <f t="array" ref="F685">IF(B685="","",(IF(B685="Compra de estoque","",(_xlfn.IFS(AND(B685="Venda de produtos",H685="Sul/Sudeste"),(VLOOKUP(C685,Tabela1[#All],9,0)*E685),AND(B685="Venda de produtos",H685="Nordeste"),(VLOOKUP(C685,Tabela1[#All],11,0)*E685),AND("Venda de produtos",H685="Norte/Centro-Oeste"),(VLOOKUP(C685,Tabela1[#All],13,0)*E685))))))</f>
        <v/>
      </c>
      <c r="G685" s="16" t="str">
        <f>IF(B685="Compra de estoque",VLOOKUP(C685,Tabela1[#All],4,0)*E685,"")</f>
        <v/>
      </c>
      <c r="H685" s="16"/>
    </row>
    <row r="686" spans="1:8" x14ac:dyDescent="0.25">
      <c r="A686" s="14" t="str">
        <f t="shared" ca="1" si="10"/>
        <v/>
      </c>
      <c r="D686" s="15" t="str">
        <f>IF(C686="","",VLOOKUP(C686,Tabela1[#All],2,0))</f>
        <v/>
      </c>
      <c r="F686" s="16" t="str" cm="1">
        <f t="array" ref="F686">IF(B686="","",(IF(B686="Compra de estoque","",(_xlfn.IFS(AND(B686="Venda de produtos",H686="Sul/Sudeste"),(VLOOKUP(C686,Tabela1[#All],9,0)*E686),AND(B686="Venda de produtos",H686="Nordeste"),(VLOOKUP(C686,Tabela1[#All],11,0)*E686),AND("Venda de produtos",H686="Norte/Centro-Oeste"),(VLOOKUP(C686,Tabela1[#All],13,0)*E686))))))</f>
        <v/>
      </c>
      <c r="G686" s="16" t="str">
        <f>IF(B686="Compra de estoque",VLOOKUP(C686,Tabela1[#All],4,0)*E686,"")</f>
        <v/>
      </c>
      <c r="H686" s="16"/>
    </row>
    <row r="687" spans="1:8" x14ac:dyDescent="0.25">
      <c r="A687" s="14" t="str">
        <f t="shared" ca="1" si="10"/>
        <v/>
      </c>
      <c r="D687" s="15" t="str">
        <f>IF(C687="","",VLOOKUP(C687,Tabela1[#All],2,0))</f>
        <v/>
      </c>
      <c r="F687" s="16" t="str" cm="1">
        <f t="array" ref="F687">IF(B687="","",(IF(B687="Compra de estoque","",(_xlfn.IFS(AND(B687="Venda de produtos",H687="Sul/Sudeste"),(VLOOKUP(C687,Tabela1[#All],9,0)*E687),AND(B687="Venda de produtos",H687="Nordeste"),(VLOOKUP(C687,Tabela1[#All],11,0)*E687),AND("Venda de produtos",H687="Norte/Centro-Oeste"),(VLOOKUP(C687,Tabela1[#All],13,0)*E687))))))</f>
        <v/>
      </c>
      <c r="G687" s="16" t="str">
        <f>IF(B687="Compra de estoque",VLOOKUP(C687,Tabela1[#All],4,0)*E687,"")</f>
        <v/>
      </c>
      <c r="H687" s="16"/>
    </row>
    <row r="688" spans="1:8" x14ac:dyDescent="0.25">
      <c r="A688" s="14" t="str">
        <f t="shared" ca="1" si="10"/>
        <v/>
      </c>
      <c r="D688" s="15" t="str">
        <f>IF(C688="","",VLOOKUP(C688,Tabela1[#All],2,0))</f>
        <v/>
      </c>
      <c r="F688" s="16" t="str" cm="1">
        <f t="array" ref="F688">IF(B688="","",(IF(B688="Compra de estoque","",(_xlfn.IFS(AND(B688="Venda de produtos",H688="Sul/Sudeste"),(VLOOKUP(C688,Tabela1[#All],9,0)*E688),AND(B688="Venda de produtos",H688="Nordeste"),(VLOOKUP(C688,Tabela1[#All],11,0)*E688),AND("Venda de produtos",H688="Norte/Centro-Oeste"),(VLOOKUP(C688,Tabela1[#All],13,0)*E688))))))</f>
        <v/>
      </c>
      <c r="G688" s="16" t="str">
        <f>IF(B688="Compra de estoque",VLOOKUP(C688,Tabela1[#All],4,0)*E688,"")</f>
        <v/>
      </c>
      <c r="H688" s="16"/>
    </row>
    <row r="689" spans="1:8" x14ac:dyDescent="0.25">
      <c r="A689" s="14" t="str">
        <f t="shared" ca="1" si="10"/>
        <v/>
      </c>
      <c r="D689" s="15" t="str">
        <f>IF(C689="","",VLOOKUP(C689,Tabela1[#All],2,0))</f>
        <v/>
      </c>
      <c r="F689" s="16" t="str" cm="1">
        <f t="array" ref="F689">IF(B689="","",(IF(B689="Compra de estoque","",(_xlfn.IFS(AND(B689="Venda de produtos",H689="Sul/Sudeste"),(VLOOKUP(C689,Tabela1[#All],9,0)*E689),AND(B689="Venda de produtos",H689="Nordeste"),(VLOOKUP(C689,Tabela1[#All],11,0)*E689),AND("Venda de produtos",H689="Norte/Centro-Oeste"),(VLOOKUP(C689,Tabela1[#All],13,0)*E689))))))</f>
        <v/>
      </c>
      <c r="G689" s="16" t="str">
        <f>IF(B689="Compra de estoque",VLOOKUP(C689,Tabela1[#All],4,0)*E689,"")</f>
        <v/>
      </c>
      <c r="H689" s="16"/>
    </row>
    <row r="690" spans="1:8" x14ac:dyDescent="0.25">
      <c r="A690" s="14" t="str">
        <f t="shared" ca="1" si="10"/>
        <v/>
      </c>
      <c r="D690" s="15" t="str">
        <f>IF(C690="","",VLOOKUP(C690,Tabela1[#All],2,0))</f>
        <v/>
      </c>
      <c r="F690" s="16" t="str" cm="1">
        <f t="array" ref="F690">IF(B690="","",(IF(B690="Compra de estoque","",(_xlfn.IFS(AND(B690="Venda de produtos",H690="Sul/Sudeste"),(VLOOKUP(C690,Tabela1[#All],9,0)*E690),AND(B690="Venda de produtos",H690="Nordeste"),(VLOOKUP(C690,Tabela1[#All],11,0)*E690),AND("Venda de produtos",H690="Norte/Centro-Oeste"),(VLOOKUP(C690,Tabela1[#All],13,0)*E690))))))</f>
        <v/>
      </c>
      <c r="G690" s="16" t="str">
        <f>IF(B690="Compra de estoque",VLOOKUP(C690,Tabela1[#All],4,0)*E690,"")</f>
        <v/>
      </c>
      <c r="H690" s="16"/>
    </row>
    <row r="691" spans="1:8" x14ac:dyDescent="0.25">
      <c r="A691" s="14" t="str">
        <f t="shared" ca="1" si="10"/>
        <v/>
      </c>
      <c r="D691" s="15" t="str">
        <f>IF(C691="","",VLOOKUP(C691,Tabela1[#All],2,0))</f>
        <v/>
      </c>
      <c r="F691" s="16" t="str" cm="1">
        <f t="array" ref="F691">IF(B691="","",(IF(B691="Compra de estoque","",(_xlfn.IFS(AND(B691="Venda de produtos",H691="Sul/Sudeste"),(VLOOKUP(C691,Tabela1[#All],9,0)*E691),AND(B691="Venda de produtos",H691="Nordeste"),(VLOOKUP(C691,Tabela1[#All],11,0)*E691),AND("Venda de produtos",H691="Norte/Centro-Oeste"),(VLOOKUP(C691,Tabela1[#All],13,0)*E691))))))</f>
        <v/>
      </c>
      <c r="G691" s="16" t="str">
        <f>IF(B691="Compra de estoque",VLOOKUP(C691,Tabela1[#All],4,0)*E691,"")</f>
        <v/>
      </c>
      <c r="H691" s="16"/>
    </row>
    <row r="692" spans="1:8" x14ac:dyDescent="0.25">
      <c r="A692" s="14" t="str">
        <f t="shared" ca="1" si="10"/>
        <v/>
      </c>
      <c r="D692" s="15" t="str">
        <f>IF(C692="","",VLOOKUP(C692,Tabela1[#All],2,0))</f>
        <v/>
      </c>
      <c r="F692" s="16" t="str" cm="1">
        <f t="array" ref="F692">IF(B692="","",(IF(B692="Compra de estoque","",(_xlfn.IFS(AND(B692="Venda de produtos",H692="Sul/Sudeste"),(VLOOKUP(C692,Tabela1[#All],9,0)*E692),AND(B692="Venda de produtos",H692="Nordeste"),(VLOOKUP(C692,Tabela1[#All],11,0)*E692),AND("Venda de produtos",H692="Norte/Centro-Oeste"),(VLOOKUP(C692,Tabela1[#All],13,0)*E692))))))</f>
        <v/>
      </c>
      <c r="G692" s="16" t="str">
        <f>IF(B692="Compra de estoque",VLOOKUP(C692,Tabela1[#All],4,0)*E692,"")</f>
        <v/>
      </c>
      <c r="H692" s="16"/>
    </row>
    <row r="693" spans="1:8" x14ac:dyDescent="0.25">
      <c r="A693" s="14" t="str">
        <f t="shared" ca="1" si="10"/>
        <v/>
      </c>
      <c r="D693" s="15" t="str">
        <f>IF(C693="","",VLOOKUP(C693,Tabela1[#All],2,0))</f>
        <v/>
      </c>
      <c r="F693" s="16" t="str" cm="1">
        <f t="array" ref="F693">IF(B693="","",(IF(B693="Compra de estoque","",(_xlfn.IFS(AND(B693="Venda de produtos",H693="Sul/Sudeste"),(VLOOKUP(C693,Tabela1[#All],9,0)*E693),AND(B693="Venda de produtos",H693="Nordeste"),(VLOOKUP(C693,Tabela1[#All],11,0)*E693),AND("Venda de produtos",H693="Norte/Centro-Oeste"),(VLOOKUP(C693,Tabela1[#All],13,0)*E693))))))</f>
        <v/>
      </c>
      <c r="G693" s="16" t="str">
        <f>IF(B693="Compra de estoque",VLOOKUP(C693,Tabela1[#All],4,0)*E693,"")</f>
        <v/>
      </c>
      <c r="H693" s="16"/>
    </row>
    <row r="694" spans="1:8" x14ac:dyDescent="0.25">
      <c r="A694" s="14" t="str">
        <f t="shared" ca="1" si="10"/>
        <v/>
      </c>
      <c r="D694" s="15" t="str">
        <f>IF(C694="","",VLOOKUP(C694,Tabela1[#All],2,0))</f>
        <v/>
      </c>
      <c r="F694" s="16" t="str" cm="1">
        <f t="array" ref="F694">IF(B694="","",(IF(B694="Compra de estoque","",(_xlfn.IFS(AND(B694="Venda de produtos",H694="Sul/Sudeste"),(VLOOKUP(C694,Tabela1[#All],9,0)*E694),AND(B694="Venda de produtos",H694="Nordeste"),(VLOOKUP(C694,Tabela1[#All],11,0)*E694),AND("Venda de produtos",H694="Norte/Centro-Oeste"),(VLOOKUP(C694,Tabela1[#All],13,0)*E694))))))</f>
        <v/>
      </c>
      <c r="G694" s="16" t="str">
        <f>IF(B694="Compra de estoque",VLOOKUP(C694,Tabela1[#All],4,0)*E694,"")</f>
        <v/>
      </c>
      <c r="H694" s="16"/>
    </row>
    <row r="695" spans="1:8" x14ac:dyDescent="0.25">
      <c r="A695" s="14" t="str">
        <f t="shared" ca="1" si="10"/>
        <v/>
      </c>
      <c r="D695" s="15" t="str">
        <f>IF(C695="","",VLOOKUP(C695,Tabela1[#All],2,0))</f>
        <v/>
      </c>
      <c r="F695" s="16" t="str" cm="1">
        <f t="array" ref="F695">IF(B695="","",(IF(B695="Compra de estoque","",(_xlfn.IFS(AND(B695="Venda de produtos",H695="Sul/Sudeste"),(VLOOKUP(C695,Tabela1[#All],9,0)*E695),AND(B695="Venda de produtos",H695="Nordeste"),(VLOOKUP(C695,Tabela1[#All],11,0)*E695),AND("Venda de produtos",H695="Norte/Centro-Oeste"),(VLOOKUP(C695,Tabela1[#All],13,0)*E695))))))</f>
        <v/>
      </c>
      <c r="G695" s="16" t="str">
        <f>IF(B695="Compra de estoque",VLOOKUP(C695,Tabela1[#All],4,0)*E695,"")</f>
        <v/>
      </c>
      <c r="H695" s="16"/>
    </row>
    <row r="696" spans="1:8" x14ac:dyDescent="0.25">
      <c r="A696" s="14" t="str">
        <f t="shared" ca="1" si="10"/>
        <v/>
      </c>
      <c r="D696" s="15" t="str">
        <f>IF(C696="","",VLOOKUP(C696,Tabela1[#All],2,0))</f>
        <v/>
      </c>
      <c r="F696" s="16" t="str" cm="1">
        <f t="array" ref="F696">IF(B696="","",(IF(B696="Compra de estoque","",(_xlfn.IFS(AND(B696="Venda de produtos",H696="Sul/Sudeste"),(VLOOKUP(C696,Tabela1[#All],9,0)*E696),AND(B696="Venda de produtos",H696="Nordeste"),(VLOOKUP(C696,Tabela1[#All],11,0)*E696),AND("Venda de produtos",H696="Norte/Centro-Oeste"),(VLOOKUP(C696,Tabela1[#All],13,0)*E696))))))</f>
        <v/>
      </c>
      <c r="G696" s="16" t="str">
        <f>IF(B696="Compra de estoque",VLOOKUP(C696,Tabela1[#All],4,0)*E696,"")</f>
        <v/>
      </c>
      <c r="H696" s="16"/>
    </row>
    <row r="697" spans="1:8" x14ac:dyDescent="0.25">
      <c r="A697" s="14" t="str">
        <f t="shared" ca="1" si="10"/>
        <v/>
      </c>
      <c r="D697" s="15" t="str">
        <f>IF(C697="","",VLOOKUP(C697,Tabela1[#All],2,0))</f>
        <v/>
      </c>
      <c r="F697" s="16" t="str" cm="1">
        <f t="array" ref="F697">IF(B697="","",(IF(B697="Compra de estoque","",(_xlfn.IFS(AND(B697="Venda de produtos",H697="Sul/Sudeste"),(VLOOKUP(C697,Tabela1[#All],9,0)*E697),AND(B697="Venda de produtos",H697="Nordeste"),(VLOOKUP(C697,Tabela1[#All],11,0)*E697),AND("Venda de produtos",H697="Norte/Centro-Oeste"),(VLOOKUP(C697,Tabela1[#All],13,0)*E697))))))</f>
        <v/>
      </c>
      <c r="G697" s="16" t="str">
        <f>IF(B697="Compra de estoque",VLOOKUP(C697,Tabela1[#All],4,0)*E697,"")</f>
        <v/>
      </c>
      <c r="H697" s="16"/>
    </row>
    <row r="698" spans="1:8" x14ac:dyDescent="0.25">
      <c r="A698" s="14" t="str">
        <f t="shared" ca="1" si="10"/>
        <v/>
      </c>
      <c r="D698" s="15" t="str">
        <f>IF(C698="","",VLOOKUP(C698,Tabela1[#All],2,0))</f>
        <v/>
      </c>
      <c r="F698" s="16" t="str" cm="1">
        <f t="array" ref="F698">IF(B698="","",(IF(B698="Compra de estoque","",(_xlfn.IFS(AND(B698="Venda de produtos",H698="Sul/Sudeste"),(VLOOKUP(C698,Tabela1[#All],9,0)*E698),AND(B698="Venda de produtos",H698="Nordeste"),(VLOOKUP(C698,Tabela1[#All],11,0)*E698),AND("Venda de produtos",H698="Norte/Centro-Oeste"),(VLOOKUP(C698,Tabela1[#All],13,0)*E698))))))</f>
        <v/>
      </c>
      <c r="G698" s="16" t="str">
        <f>IF(B698="Compra de estoque",VLOOKUP(C698,Tabela1[#All],4,0)*E698,"")</f>
        <v/>
      </c>
      <c r="H698" s="16"/>
    </row>
    <row r="699" spans="1:8" x14ac:dyDescent="0.25">
      <c r="A699" s="14" t="str">
        <f t="shared" ca="1" si="10"/>
        <v/>
      </c>
      <c r="D699" s="15" t="str">
        <f>IF(C699="","",VLOOKUP(C699,Tabela1[#All],2,0))</f>
        <v/>
      </c>
      <c r="F699" s="16" t="str" cm="1">
        <f t="array" ref="F699">IF(B699="","",(IF(B699="Compra de estoque","",(_xlfn.IFS(AND(B699="Venda de produtos",H699="Sul/Sudeste"),(VLOOKUP(C699,Tabela1[#All],9,0)*E699),AND(B699="Venda de produtos",H699="Nordeste"),(VLOOKUP(C699,Tabela1[#All],11,0)*E699),AND("Venda de produtos",H699="Norte/Centro-Oeste"),(VLOOKUP(C699,Tabela1[#All],13,0)*E699))))))</f>
        <v/>
      </c>
      <c r="G699" s="16" t="str">
        <f>IF(B699="Compra de estoque",VLOOKUP(C699,Tabela1[#All],4,0)*E699,"")</f>
        <v/>
      </c>
      <c r="H699" s="16"/>
    </row>
    <row r="700" spans="1:8" x14ac:dyDescent="0.25">
      <c r="A700" s="14" t="str">
        <f t="shared" ca="1" si="10"/>
        <v/>
      </c>
      <c r="D700" s="15" t="str">
        <f>IF(C700="","",VLOOKUP(C700,Tabela1[#All],2,0))</f>
        <v/>
      </c>
      <c r="F700" s="16" t="str" cm="1">
        <f t="array" ref="F700">IF(B700="","",(IF(B700="Compra de estoque","",(_xlfn.IFS(AND(B700="Venda de produtos",H700="Sul/Sudeste"),(VLOOKUP(C700,Tabela1[#All],9,0)*E700),AND(B700="Venda de produtos",H700="Nordeste"),(VLOOKUP(C700,Tabela1[#All],11,0)*E700),AND("Venda de produtos",H700="Norte/Centro-Oeste"),(VLOOKUP(C700,Tabela1[#All],13,0)*E700))))))</f>
        <v/>
      </c>
      <c r="G700" s="16" t="str">
        <f>IF(B700="Compra de estoque",VLOOKUP(C700,Tabela1[#All],4,0)*E700,"")</f>
        <v/>
      </c>
      <c r="H700" s="16"/>
    </row>
    <row r="701" spans="1:8" x14ac:dyDescent="0.25">
      <c r="A701" s="14" t="str">
        <f t="shared" ca="1" si="10"/>
        <v/>
      </c>
      <c r="D701" s="15" t="str">
        <f>IF(C701="","",VLOOKUP(C701,Tabela1[#All],2,0))</f>
        <v/>
      </c>
      <c r="F701" s="16" t="str" cm="1">
        <f t="array" ref="F701">IF(B701="","",(IF(B701="Compra de estoque","",(_xlfn.IFS(AND(B701="Venda de produtos",H701="Sul/Sudeste"),(VLOOKUP(C701,Tabela1[#All],9,0)*E701),AND(B701="Venda de produtos",H701="Nordeste"),(VLOOKUP(C701,Tabela1[#All],11,0)*E701),AND("Venda de produtos",H701="Norte/Centro-Oeste"),(VLOOKUP(C701,Tabela1[#All],13,0)*E701))))))</f>
        <v/>
      </c>
      <c r="G701" s="16" t="str">
        <f>IF(B701="Compra de estoque",VLOOKUP(C701,Tabela1[#All],4,0)*E701,"")</f>
        <v/>
      </c>
      <c r="H701" s="16"/>
    </row>
    <row r="702" spans="1:8" x14ac:dyDescent="0.25">
      <c r="A702" s="14" t="str">
        <f t="shared" ca="1" si="10"/>
        <v/>
      </c>
      <c r="D702" s="15" t="str">
        <f>IF(C702="","",VLOOKUP(C702,Tabela1[#All],2,0))</f>
        <v/>
      </c>
      <c r="F702" s="16" t="str" cm="1">
        <f t="array" ref="F702">IF(B702="","",(IF(B702="Compra de estoque","",(_xlfn.IFS(AND(B702="Venda de produtos",H702="Sul/Sudeste"),(VLOOKUP(C702,Tabela1[#All],9,0)*E702),AND(B702="Venda de produtos",H702="Nordeste"),(VLOOKUP(C702,Tabela1[#All],11,0)*E702),AND("Venda de produtos",H702="Norte/Centro-Oeste"),(VLOOKUP(C702,Tabela1[#All],13,0)*E702))))))</f>
        <v/>
      </c>
      <c r="G702" s="16" t="str">
        <f>IF(B702="Compra de estoque",VLOOKUP(C702,Tabela1[#All],4,0)*E702,"")</f>
        <v/>
      </c>
      <c r="H702" s="16"/>
    </row>
    <row r="703" spans="1:8" x14ac:dyDescent="0.25">
      <c r="A703" s="14" t="str">
        <f t="shared" ca="1" si="10"/>
        <v/>
      </c>
      <c r="D703" s="15" t="str">
        <f>IF(C703="","",VLOOKUP(C703,Tabela1[#All],2,0))</f>
        <v/>
      </c>
      <c r="F703" s="16" t="str" cm="1">
        <f t="array" ref="F703">IF(B703="","",(IF(B703="Compra de estoque","",(_xlfn.IFS(AND(B703="Venda de produtos",H703="Sul/Sudeste"),(VLOOKUP(C703,Tabela1[#All],9,0)*E703),AND(B703="Venda de produtos",H703="Nordeste"),(VLOOKUP(C703,Tabela1[#All],11,0)*E703),AND("Venda de produtos",H703="Norte/Centro-Oeste"),(VLOOKUP(C703,Tabela1[#All],13,0)*E703))))))</f>
        <v/>
      </c>
      <c r="G703" s="16" t="str">
        <f>IF(B703="Compra de estoque",VLOOKUP(C703,Tabela1[#All],4,0)*E703,"")</f>
        <v/>
      </c>
      <c r="H703" s="16"/>
    </row>
    <row r="704" spans="1:8" x14ac:dyDescent="0.25">
      <c r="A704" s="14" t="str">
        <f t="shared" ca="1" si="10"/>
        <v/>
      </c>
      <c r="D704" s="15" t="str">
        <f>IF(C704="","",VLOOKUP(C704,Tabela1[#All],2,0))</f>
        <v/>
      </c>
      <c r="F704" s="16" t="str" cm="1">
        <f t="array" ref="F704">IF(B704="","",(IF(B704="Compra de estoque","",(_xlfn.IFS(AND(B704="Venda de produtos",H704="Sul/Sudeste"),(VLOOKUP(C704,Tabela1[#All],9,0)*E704),AND(B704="Venda de produtos",H704="Nordeste"),(VLOOKUP(C704,Tabela1[#All],11,0)*E704),AND("Venda de produtos",H704="Norte/Centro-Oeste"),(VLOOKUP(C704,Tabela1[#All],13,0)*E704))))))</f>
        <v/>
      </c>
      <c r="G704" s="16" t="str">
        <f>IF(B704="Compra de estoque",VLOOKUP(C704,Tabela1[#All],4,0)*E704,"")</f>
        <v/>
      </c>
      <c r="H704" s="16"/>
    </row>
    <row r="705" spans="1:8" x14ac:dyDescent="0.25">
      <c r="A705" s="14" t="str">
        <f t="shared" ca="1" si="10"/>
        <v/>
      </c>
      <c r="D705" s="15" t="str">
        <f>IF(C705="","",VLOOKUP(C705,Tabela1[#All],2,0))</f>
        <v/>
      </c>
      <c r="F705" s="16" t="str" cm="1">
        <f t="array" ref="F705">IF(B705="","",(IF(B705="Compra de estoque","",(_xlfn.IFS(AND(B705="Venda de produtos",H705="Sul/Sudeste"),(VLOOKUP(C705,Tabela1[#All],9,0)*E705),AND(B705="Venda de produtos",H705="Nordeste"),(VLOOKUP(C705,Tabela1[#All],11,0)*E705),AND("Venda de produtos",H705="Norte/Centro-Oeste"),(VLOOKUP(C705,Tabela1[#All],13,0)*E705))))))</f>
        <v/>
      </c>
      <c r="G705" s="16" t="str">
        <f>IF(B705="Compra de estoque",VLOOKUP(C705,Tabela1[#All],4,0)*E705,"")</f>
        <v/>
      </c>
      <c r="H705" s="16"/>
    </row>
    <row r="706" spans="1:8" x14ac:dyDescent="0.25">
      <c r="A706" s="14" t="str">
        <f t="shared" ca="1" si="10"/>
        <v/>
      </c>
      <c r="D706" s="15" t="str">
        <f>IF(C706="","",VLOOKUP(C706,Tabela1[#All],2,0))</f>
        <v/>
      </c>
      <c r="F706" s="16" t="str" cm="1">
        <f t="array" ref="F706">IF(B706="","",(IF(B706="Compra de estoque","",(_xlfn.IFS(AND(B706="Venda de produtos",H706="Sul/Sudeste"),(VLOOKUP(C706,Tabela1[#All],9,0)*E706),AND(B706="Venda de produtos",H706="Nordeste"),(VLOOKUP(C706,Tabela1[#All],11,0)*E706),AND("Venda de produtos",H706="Norte/Centro-Oeste"),(VLOOKUP(C706,Tabela1[#All],13,0)*E706))))))</f>
        <v/>
      </c>
      <c r="G706" s="16" t="str">
        <f>IF(B706="Compra de estoque",VLOOKUP(C706,Tabela1[#All],4,0)*E706,"")</f>
        <v/>
      </c>
      <c r="H706" s="16"/>
    </row>
    <row r="707" spans="1:8" x14ac:dyDescent="0.25">
      <c r="A707" s="14" t="str">
        <f t="shared" ref="A707:A770" ca="1" si="11">IF(C707="","",NOW())</f>
        <v/>
      </c>
      <c r="D707" s="15" t="str">
        <f>IF(C707="","",VLOOKUP(C707,Tabela1[#All],2,0))</f>
        <v/>
      </c>
      <c r="F707" s="16" t="str" cm="1">
        <f t="array" ref="F707">IF(B707="","",(IF(B707="Compra de estoque","",(_xlfn.IFS(AND(B707="Venda de produtos",H707="Sul/Sudeste"),(VLOOKUP(C707,Tabela1[#All],9,0)*E707),AND(B707="Venda de produtos",H707="Nordeste"),(VLOOKUP(C707,Tabela1[#All],11,0)*E707),AND("Venda de produtos",H707="Norte/Centro-Oeste"),(VLOOKUP(C707,Tabela1[#All],13,0)*E707))))))</f>
        <v/>
      </c>
      <c r="G707" s="16" t="str">
        <f>IF(B707="Compra de estoque",VLOOKUP(C707,Tabela1[#All],4,0)*E707,"")</f>
        <v/>
      </c>
      <c r="H707" s="16"/>
    </row>
    <row r="708" spans="1:8" x14ac:dyDescent="0.25">
      <c r="A708" s="14" t="str">
        <f t="shared" ca="1" si="11"/>
        <v/>
      </c>
      <c r="D708" s="15" t="str">
        <f>IF(C708="","",VLOOKUP(C708,Tabela1[#All],2,0))</f>
        <v/>
      </c>
      <c r="F708" s="16" t="str" cm="1">
        <f t="array" ref="F708">IF(B708="","",(IF(B708="Compra de estoque","",(_xlfn.IFS(AND(B708="Venda de produtos",H708="Sul/Sudeste"),(VLOOKUP(C708,Tabela1[#All],9,0)*E708),AND(B708="Venda de produtos",H708="Nordeste"),(VLOOKUP(C708,Tabela1[#All],11,0)*E708),AND("Venda de produtos",H708="Norte/Centro-Oeste"),(VLOOKUP(C708,Tabela1[#All],13,0)*E708))))))</f>
        <v/>
      </c>
      <c r="G708" s="16" t="str">
        <f>IF(B708="Compra de estoque",VLOOKUP(C708,Tabela1[#All],4,0)*E708,"")</f>
        <v/>
      </c>
      <c r="H708" s="16"/>
    </row>
    <row r="709" spans="1:8" x14ac:dyDescent="0.25">
      <c r="A709" s="14" t="str">
        <f t="shared" ca="1" si="11"/>
        <v/>
      </c>
      <c r="D709" s="15" t="str">
        <f>IF(C709="","",VLOOKUP(C709,Tabela1[#All],2,0))</f>
        <v/>
      </c>
      <c r="F709" s="16" t="str" cm="1">
        <f t="array" ref="F709">IF(B709="","",(IF(B709="Compra de estoque","",(_xlfn.IFS(AND(B709="Venda de produtos",H709="Sul/Sudeste"),(VLOOKUP(C709,Tabela1[#All],9,0)*E709),AND(B709="Venda de produtos",H709="Nordeste"),(VLOOKUP(C709,Tabela1[#All],11,0)*E709),AND("Venda de produtos",H709="Norte/Centro-Oeste"),(VLOOKUP(C709,Tabela1[#All],13,0)*E709))))))</f>
        <v/>
      </c>
      <c r="G709" s="16" t="str">
        <f>IF(B709="Compra de estoque",VLOOKUP(C709,Tabela1[#All],4,0)*E709,"")</f>
        <v/>
      </c>
      <c r="H709" s="16"/>
    </row>
    <row r="710" spans="1:8" x14ac:dyDescent="0.25">
      <c r="A710" s="14" t="str">
        <f t="shared" ca="1" si="11"/>
        <v/>
      </c>
      <c r="D710" s="15" t="str">
        <f>IF(C710="","",VLOOKUP(C710,Tabela1[#All],2,0))</f>
        <v/>
      </c>
      <c r="F710" s="16" t="str" cm="1">
        <f t="array" ref="F710">IF(B710="","",(IF(B710="Compra de estoque","",(_xlfn.IFS(AND(B710="Venda de produtos",H710="Sul/Sudeste"),(VLOOKUP(C710,Tabela1[#All],9,0)*E710),AND(B710="Venda de produtos",H710="Nordeste"),(VLOOKUP(C710,Tabela1[#All],11,0)*E710),AND("Venda de produtos",H710="Norte/Centro-Oeste"),(VLOOKUP(C710,Tabela1[#All],13,0)*E710))))))</f>
        <v/>
      </c>
      <c r="G710" s="16" t="str">
        <f>IF(B710="Compra de estoque",VLOOKUP(C710,Tabela1[#All],4,0)*E710,"")</f>
        <v/>
      </c>
      <c r="H710" s="16"/>
    </row>
    <row r="711" spans="1:8" x14ac:dyDescent="0.25">
      <c r="A711" s="14" t="str">
        <f t="shared" ca="1" si="11"/>
        <v/>
      </c>
      <c r="D711" s="15" t="str">
        <f>IF(C711="","",VLOOKUP(C711,Tabela1[#All],2,0))</f>
        <v/>
      </c>
      <c r="F711" s="16" t="str" cm="1">
        <f t="array" ref="F711">IF(B711="","",(IF(B711="Compra de estoque","",(_xlfn.IFS(AND(B711="Venda de produtos",H711="Sul/Sudeste"),(VLOOKUP(C711,Tabela1[#All],9,0)*E711),AND(B711="Venda de produtos",H711="Nordeste"),(VLOOKUP(C711,Tabela1[#All],11,0)*E711),AND("Venda de produtos",H711="Norte/Centro-Oeste"),(VLOOKUP(C711,Tabela1[#All],13,0)*E711))))))</f>
        <v/>
      </c>
      <c r="G711" s="16" t="str">
        <f>IF(B711="Compra de estoque",VLOOKUP(C711,Tabela1[#All],4,0)*E711,"")</f>
        <v/>
      </c>
      <c r="H711" s="16"/>
    </row>
    <row r="712" spans="1:8" x14ac:dyDescent="0.25">
      <c r="A712" s="14" t="str">
        <f t="shared" ca="1" si="11"/>
        <v/>
      </c>
      <c r="D712" s="15" t="str">
        <f>IF(C712="","",VLOOKUP(C712,Tabela1[#All],2,0))</f>
        <v/>
      </c>
      <c r="F712" s="16" t="str" cm="1">
        <f t="array" ref="F712">IF(B712="","",(IF(B712="Compra de estoque","",(_xlfn.IFS(AND(B712="Venda de produtos",H712="Sul/Sudeste"),(VLOOKUP(C712,Tabela1[#All],9,0)*E712),AND(B712="Venda de produtos",H712="Nordeste"),(VLOOKUP(C712,Tabela1[#All],11,0)*E712),AND("Venda de produtos",H712="Norte/Centro-Oeste"),(VLOOKUP(C712,Tabela1[#All],13,0)*E712))))))</f>
        <v/>
      </c>
      <c r="G712" s="16" t="str">
        <f>IF(B712="Compra de estoque",VLOOKUP(C712,Tabela1[#All],4,0)*E712,"")</f>
        <v/>
      </c>
      <c r="H712" s="16"/>
    </row>
    <row r="713" spans="1:8" x14ac:dyDescent="0.25">
      <c r="A713" s="14" t="str">
        <f t="shared" ca="1" si="11"/>
        <v/>
      </c>
      <c r="D713" s="15" t="str">
        <f>IF(C713="","",VLOOKUP(C713,Tabela1[#All],2,0))</f>
        <v/>
      </c>
      <c r="F713" s="16" t="str" cm="1">
        <f t="array" ref="F713">IF(B713="","",(IF(B713="Compra de estoque","",(_xlfn.IFS(AND(B713="Venda de produtos",H713="Sul/Sudeste"),(VLOOKUP(C713,Tabela1[#All],9,0)*E713),AND(B713="Venda de produtos",H713="Nordeste"),(VLOOKUP(C713,Tabela1[#All],11,0)*E713),AND("Venda de produtos",H713="Norte/Centro-Oeste"),(VLOOKUP(C713,Tabela1[#All],13,0)*E713))))))</f>
        <v/>
      </c>
      <c r="G713" s="16" t="str">
        <f>IF(B713="Compra de estoque",VLOOKUP(C713,Tabela1[#All],4,0)*E713,"")</f>
        <v/>
      </c>
      <c r="H713" s="16"/>
    </row>
    <row r="714" spans="1:8" x14ac:dyDescent="0.25">
      <c r="A714" s="14" t="str">
        <f t="shared" ca="1" si="11"/>
        <v/>
      </c>
      <c r="D714" s="15" t="str">
        <f>IF(C714="","",VLOOKUP(C714,Tabela1[#All],2,0))</f>
        <v/>
      </c>
      <c r="F714" s="16" t="str" cm="1">
        <f t="array" ref="F714">IF(B714="","",(IF(B714="Compra de estoque","",(_xlfn.IFS(AND(B714="Venda de produtos",H714="Sul/Sudeste"),(VLOOKUP(C714,Tabela1[#All],9,0)*E714),AND(B714="Venda de produtos",H714="Nordeste"),(VLOOKUP(C714,Tabela1[#All],11,0)*E714),AND("Venda de produtos",H714="Norte/Centro-Oeste"),(VLOOKUP(C714,Tabela1[#All],13,0)*E714))))))</f>
        <v/>
      </c>
      <c r="G714" s="16" t="str">
        <f>IF(B714="Compra de estoque",VLOOKUP(C714,Tabela1[#All],4,0)*E714,"")</f>
        <v/>
      </c>
      <c r="H714" s="16"/>
    </row>
    <row r="715" spans="1:8" x14ac:dyDescent="0.25">
      <c r="A715" s="14" t="str">
        <f t="shared" ca="1" si="11"/>
        <v/>
      </c>
      <c r="D715" s="15" t="str">
        <f>IF(C715="","",VLOOKUP(C715,Tabela1[#All],2,0))</f>
        <v/>
      </c>
      <c r="F715" s="16" t="str" cm="1">
        <f t="array" ref="F715">IF(B715="","",(IF(B715="Compra de estoque","",(_xlfn.IFS(AND(B715="Venda de produtos",H715="Sul/Sudeste"),(VLOOKUP(C715,Tabela1[#All],9,0)*E715),AND(B715="Venda de produtos",H715="Nordeste"),(VLOOKUP(C715,Tabela1[#All],11,0)*E715),AND("Venda de produtos",H715="Norte/Centro-Oeste"),(VLOOKUP(C715,Tabela1[#All],13,0)*E715))))))</f>
        <v/>
      </c>
      <c r="G715" s="16" t="str">
        <f>IF(B715="Compra de estoque",VLOOKUP(C715,Tabela1[#All],4,0)*E715,"")</f>
        <v/>
      </c>
      <c r="H715" s="16"/>
    </row>
    <row r="716" spans="1:8" x14ac:dyDescent="0.25">
      <c r="A716" s="14" t="str">
        <f t="shared" ca="1" si="11"/>
        <v/>
      </c>
      <c r="D716" s="15" t="str">
        <f>IF(C716="","",VLOOKUP(C716,Tabela1[#All],2,0))</f>
        <v/>
      </c>
      <c r="F716" s="16" t="str" cm="1">
        <f t="array" ref="F716">IF(B716="","",(IF(B716="Compra de estoque","",(_xlfn.IFS(AND(B716="Venda de produtos",H716="Sul/Sudeste"),(VLOOKUP(C716,Tabela1[#All],9,0)*E716),AND(B716="Venda de produtos",H716="Nordeste"),(VLOOKUP(C716,Tabela1[#All],11,0)*E716),AND("Venda de produtos",H716="Norte/Centro-Oeste"),(VLOOKUP(C716,Tabela1[#All],13,0)*E716))))))</f>
        <v/>
      </c>
      <c r="G716" s="16" t="str">
        <f>IF(B716="Compra de estoque",VLOOKUP(C716,Tabela1[#All],4,0)*E716,"")</f>
        <v/>
      </c>
      <c r="H716" s="16"/>
    </row>
    <row r="717" spans="1:8" x14ac:dyDescent="0.25">
      <c r="A717" s="14" t="str">
        <f t="shared" ca="1" si="11"/>
        <v/>
      </c>
      <c r="D717" s="15" t="str">
        <f>IF(C717="","",VLOOKUP(C717,Tabela1[#All],2,0))</f>
        <v/>
      </c>
      <c r="F717" s="16" t="str" cm="1">
        <f t="array" ref="F717">IF(B717="","",(IF(B717="Compra de estoque","",(_xlfn.IFS(AND(B717="Venda de produtos",H717="Sul/Sudeste"),(VLOOKUP(C717,Tabela1[#All],9,0)*E717),AND(B717="Venda de produtos",H717="Nordeste"),(VLOOKUP(C717,Tabela1[#All],11,0)*E717),AND("Venda de produtos",H717="Norte/Centro-Oeste"),(VLOOKUP(C717,Tabela1[#All],13,0)*E717))))))</f>
        <v/>
      </c>
      <c r="G717" s="16" t="str">
        <f>IF(B717="Compra de estoque",VLOOKUP(C717,Tabela1[#All],4,0)*E717,"")</f>
        <v/>
      </c>
      <c r="H717" s="16"/>
    </row>
    <row r="718" spans="1:8" x14ac:dyDescent="0.25">
      <c r="A718" s="14" t="str">
        <f t="shared" ca="1" si="11"/>
        <v/>
      </c>
      <c r="D718" s="15" t="str">
        <f>IF(C718="","",VLOOKUP(C718,Tabela1[#All],2,0))</f>
        <v/>
      </c>
      <c r="F718" s="16" t="str" cm="1">
        <f t="array" ref="F718">IF(B718="","",(IF(B718="Compra de estoque","",(_xlfn.IFS(AND(B718="Venda de produtos",H718="Sul/Sudeste"),(VLOOKUP(C718,Tabela1[#All],9,0)*E718),AND(B718="Venda de produtos",H718="Nordeste"),(VLOOKUP(C718,Tabela1[#All],11,0)*E718),AND("Venda de produtos",H718="Norte/Centro-Oeste"),(VLOOKUP(C718,Tabela1[#All],13,0)*E718))))))</f>
        <v/>
      </c>
      <c r="G718" s="16" t="str">
        <f>IF(B718="Compra de estoque",VLOOKUP(C718,Tabela1[#All],4,0)*E718,"")</f>
        <v/>
      </c>
      <c r="H718" s="16"/>
    </row>
    <row r="719" spans="1:8" x14ac:dyDescent="0.25">
      <c r="A719" s="14" t="str">
        <f t="shared" ca="1" si="11"/>
        <v/>
      </c>
      <c r="D719" s="15" t="str">
        <f>IF(C719="","",VLOOKUP(C719,Tabela1[#All],2,0))</f>
        <v/>
      </c>
      <c r="F719" s="16" t="str" cm="1">
        <f t="array" ref="F719">IF(B719="","",(IF(B719="Compra de estoque","",(_xlfn.IFS(AND(B719="Venda de produtos",H719="Sul/Sudeste"),(VLOOKUP(C719,Tabela1[#All],9,0)*E719),AND(B719="Venda de produtos",H719="Nordeste"),(VLOOKUP(C719,Tabela1[#All],11,0)*E719),AND("Venda de produtos",H719="Norte/Centro-Oeste"),(VLOOKUP(C719,Tabela1[#All],13,0)*E719))))))</f>
        <v/>
      </c>
      <c r="G719" s="16" t="str">
        <f>IF(B719="Compra de estoque",VLOOKUP(C719,Tabela1[#All],4,0)*E719,"")</f>
        <v/>
      </c>
      <c r="H719" s="16"/>
    </row>
    <row r="720" spans="1:8" x14ac:dyDescent="0.25">
      <c r="A720" s="14" t="str">
        <f t="shared" ca="1" si="11"/>
        <v/>
      </c>
      <c r="D720" s="15" t="str">
        <f>IF(C720="","",VLOOKUP(C720,Tabela1[#All],2,0))</f>
        <v/>
      </c>
      <c r="F720" s="16" t="str" cm="1">
        <f t="array" ref="F720">IF(B720="","",(IF(B720="Compra de estoque","",(_xlfn.IFS(AND(B720="Venda de produtos",H720="Sul/Sudeste"),(VLOOKUP(C720,Tabela1[#All],9,0)*E720),AND(B720="Venda de produtos",H720="Nordeste"),(VLOOKUP(C720,Tabela1[#All],11,0)*E720),AND("Venda de produtos",H720="Norte/Centro-Oeste"),(VLOOKUP(C720,Tabela1[#All],13,0)*E720))))))</f>
        <v/>
      </c>
      <c r="G720" s="16" t="str">
        <f>IF(B720="Compra de estoque",VLOOKUP(C720,Tabela1[#All],4,0)*E720,"")</f>
        <v/>
      </c>
      <c r="H720" s="16"/>
    </row>
    <row r="721" spans="1:8" x14ac:dyDescent="0.25">
      <c r="A721" s="14" t="str">
        <f t="shared" ca="1" si="11"/>
        <v/>
      </c>
      <c r="D721" s="15" t="str">
        <f>IF(C721="","",VLOOKUP(C721,Tabela1[#All],2,0))</f>
        <v/>
      </c>
      <c r="F721" s="16" t="str" cm="1">
        <f t="array" ref="F721">IF(B721="","",(IF(B721="Compra de estoque","",(_xlfn.IFS(AND(B721="Venda de produtos",H721="Sul/Sudeste"),(VLOOKUP(C721,Tabela1[#All],9,0)*E721),AND(B721="Venda de produtos",H721="Nordeste"),(VLOOKUP(C721,Tabela1[#All],11,0)*E721),AND("Venda de produtos",H721="Norte/Centro-Oeste"),(VLOOKUP(C721,Tabela1[#All],13,0)*E721))))))</f>
        <v/>
      </c>
      <c r="G721" s="16" t="str">
        <f>IF(B721="Compra de estoque",VLOOKUP(C721,Tabela1[#All],4,0)*E721,"")</f>
        <v/>
      </c>
      <c r="H721" s="16"/>
    </row>
    <row r="722" spans="1:8" x14ac:dyDescent="0.25">
      <c r="A722" s="14" t="str">
        <f t="shared" ca="1" si="11"/>
        <v/>
      </c>
      <c r="D722" s="15" t="str">
        <f>IF(C722="","",VLOOKUP(C722,Tabela1[#All],2,0))</f>
        <v/>
      </c>
      <c r="F722" s="16" t="str" cm="1">
        <f t="array" ref="F722">IF(B722="","",(IF(B722="Compra de estoque","",(_xlfn.IFS(AND(B722="Venda de produtos",H722="Sul/Sudeste"),(VLOOKUP(C722,Tabela1[#All],9,0)*E722),AND(B722="Venda de produtos",H722="Nordeste"),(VLOOKUP(C722,Tabela1[#All],11,0)*E722),AND("Venda de produtos",H722="Norte/Centro-Oeste"),(VLOOKUP(C722,Tabela1[#All],13,0)*E722))))))</f>
        <v/>
      </c>
      <c r="G722" s="16" t="str">
        <f>IF(B722="Compra de estoque",VLOOKUP(C722,Tabela1[#All],4,0)*E722,"")</f>
        <v/>
      </c>
      <c r="H722" s="16"/>
    </row>
    <row r="723" spans="1:8" x14ac:dyDescent="0.25">
      <c r="A723" s="14" t="str">
        <f t="shared" ca="1" si="11"/>
        <v/>
      </c>
      <c r="D723" s="15" t="str">
        <f>IF(C723="","",VLOOKUP(C723,Tabela1[#All],2,0))</f>
        <v/>
      </c>
      <c r="F723" s="16" t="str" cm="1">
        <f t="array" ref="F723">IF(B723="","",(IF(B723="Compra de estoque","",(_xlfn.IFS(AND(B723="Venda de produtos",H723="Sul/Sudeste"),(VLOOKUP(C723,Tabela1[#All],9,0)*E723),AND(B723="Venda de produtos",H723="Nordeste"),(VLOOKUP(C723,Tabela1[#All],11,0)*E723),AND("Venda de produtos",H723="Norte/Centro-Oeste"),(VLOOKUP(C723,Tabela1[#All],13,0)*E723))))))</f>
        <v/>
      </c>
      <c r="G723" s="16" t="str">
        <f>IF(B723="Compra de estoque",VLOOKUP(C723,Tabela1[#All],4,0)*E723,"")</f>
        <v/>
      </c>
      <c r="H723" s="16"/>
    </row>
    <row r="724" spans="1:8" x14ac:dyDescent="0.25">
      <c r="A724" s="14" t="str">
        <f t="shared" ca="1" si="11"/>
        <v/>
      </c>
      <c r="D724" s="15" t="str">
        <f>IF(C724="","",VLOOKUP(C724,Tabela1[#All],2,0))</f>
        <v/>
      </c>
      <c r="F724" s="16" t="str" cm="1">
        <f t="array" ref="F724">IF(B724="","",(IF(B724="Compra de estoque","",(_xlfn.IFS(AND(B724="Venda de produtos",H724="Sul/Sudeste"),(VLOOKUP(C724,Tabela1[#All],9,0)*E724),AND(B724="Venda de produtos",H724="Nordeste"),(VLOOKUP(C724,Tabela1[#All],11,0)*E724),AND("Venda de produtos",H724="Norte/Centro-Oeste"),(VLOOKUP(C724,Tabela1[#All],13,0)*E724))))))</f>
        <v/>
      </c>
      <c r="G724" s="16" t="str">
        <f>IF(B724="Compra de estoque",VLOOKUP(C724,Tabela1[#All],4,0)*E724,"")</f>
        <v/>
      </c>
      <c r="H724" s="16"/>
    </row>
    <row r="725" spans="1:8" x14ac:dyDescent="0.25">
      <c r="A725" s="14" t="str">
        <f t="shared" ca="1" si="11"/>
        <v/>
      </c>
      <c r="D725" s="15" t="str">
        <f>IF(C725="","",VLOOKUP(C725,Tabela1[#All],2,0))</f>
        <v/>
      </c>
      <c r="F725" s="16" t="str" cm="1">
        <f t="array" ref="F725">IF(B725="","",(IF(B725="Compra de estoque","",(_xlfn.IFS(AND(B725="Venda de produtos",H725="Sul/Sudeste"),(VLOOKUP(C725,Tabela1[#All],9,0)*E725),AND(B725="Venda de produtos",H725="Nordeste"),(VLOOKUP(C725,Tabela1[#All],11,0)*E725),AND("Venda de produtos",H725="Norte/Centro-Oeste"),(VLOOKUP(C725,Tabela1[#All],13,0)*E725))))))</f>
        <v/>
      </c>
      <c r="G725" s="16" t="str">
        <f>IF(B725="Compra de estoque",VLOOKUP(C725,Tabela1[#All],4,0)*E725,"")</f>
        <v/>
      </c>
      <c r="H725" s="16"/>
    </row>
    <row r="726" spans="1:8" x14ac:dyDescent="0.25">
      <c r="A726" s="14" t="str">
        <f t="shared" ca="1" si="11"/>
        <v/>
      </c>
      <c r="D726" s="15" t="str">
        <f>IF(C726="","",VLOOKUP(C726,Tabela1[#All],2,0))</f>
        <v/>
      </c>
      <c r="F726" s="16" t="str" cm="1">
        <f t="array" ref="F726">IF(B726="","",(IF(B726="Compra de estoque","",(_xlfn.IFS(AND(B726="Venda de produtos",H726="Sul/Sudeste"),(VLOOKUP(C726,Tabela1[#All],9,0)*E726),AND(B726="Venda de produtos",H726="Nordeste"),(VLOOKUP(C726,Tabela1[#All],11,0)*E726),AND("Venda de produtos",H726="Norte/Centro-Oeste"),(VLOOKUP(C726,Tabela1[#All],13,0)*E726))))))</f>
        <v/>
      </c>
      <c r="G726" s="16" t="str">
        <f>IF(B726="Compra de estoque",VLOOKUP(C726,Tabela1[#All],4,0)*E726,"")</f>
        <v/>
      </c>
      <c r="H726" s="16"/>
    </row>
    <row r="727" spans="1:8" x14ac:dyDescent="0.25">
      <c r="A727" s="14" t="str">
        <f t="shared" ca="1" si="11"/>
        <v/>
      </c>
      <c r="D727" s="15" t="str">
        <f>IF(C727="","",VLOOKUP(C727,Tabela1[#All],2,0))</f>
        <v/>
      </c>
      <c r="F727" s="16" t="str" cm="1">
        <f t="array" ref="F727">IF(B727="","",(IF(B727="Compra de estoque","",(_xlfn.IFS(AND(B727="Venda de produtos",H727="Sul/Sudeste"),(VLOOKUP(C727,Tabela1[#All],9,0)*E727),AND(B727="Venda de produtos",H727="Nordeste"),(VLOOKUP(C727,Tabela1[#All],11,0)*E727),AND("Venda de produtos",H727="Norte/Centro-Oeste"),(VLOOKUP(C727,Tabela1[#All],13,0)*E727))))))</f>
        <v/>
      </c>
      <c r="G727" s="16" t="str">
        <f>IF(B727="Compra de estoque",VLOOKUP(C727,Tabela1[#All],4,0)*E727,"")</f>
        <v/>
      </c>
      <c r="H727" s="16"/>
    </row>
    <row r="728" spans="1:8" x14ac:dyDescent="0.25">
      <c r="A728" s="14" t="str">
        <f t="shared" ca="1" si="11"/>
        <v/>
      </c>
      <c r="D728" s="15" t="str">
        <f>IF(C728="","",VLOOKUP(C728,Tabela1[#All],2,0))</f>
        <v/>
      </c>
      <c r="F728" s="16" t="str" cm="1">
        <f t="array" ref="F728">IF(B728="","",(IF(B728="Compra de estoque","",(_xlfn.IFS(AND(B728="Venda de produtos",H728="Sul/Sudeste"),(VLOOKUP(C728,Tabela1[#All],9,0)*E728),AND(B728="Venda de produtos",H728="Nordeste"),(VLOOKUP(C728,Tabela1[#All],11,0)*E728),AND("Venda de produtos",H728="Norte/Centro-Oeste"),(VLOOKUP(C728,Tabela1[#All],13,0)*E728))))))</f>
        <v/>
      </c>
      <c r="G728" s="16" t="str">
        <f>IF(B728="Compra de estoque",VLOOKUP(C728,Tabela1[#All],4,0)*E728,"")</f>
        <v/>
      </c>
      <c r="H728" s="16"/>
    </row>
    <row r="729" spans="1:8" x14ac:dyDescent="0.25">
      <c r="A729" s="14" t="str">
        <f t="shared" ca="1" si="11"/>
        <v/>
      </c>
      <c r="D729" s="15" t="str">
        <f>IF(C729="","",VLOOKUP(C729,Tabela1[#All],2,0))</f>
        <v/>
      </c>
      <c r="F729" s="16" t="str" cm="1">
        <f t="array" ref="F729">IF(B729="","",(IF(B729="Compra de estoque","",(_xlfn.IFS(AND(B729="Venda de produtos",H729="Sul/Sudeste"),(VLOOKUP(C729,Tabela1[#All],9,0)*E729),AND(B729="Venda de produtos",H729="Nordeste"),(VLOOKUP(C729,Tabela1[#All],11,0)*E729),AND("Venda de produtos",H729="Norte/Centro-Oeste"),(VLOOKUP(C729,Tabela1[#All],13,0)*E729))))))</f>
        <v/>
      </c>
      <c r="G729" s="16" t="str">
        <f>IF(B729="Compra de estoque",VLOOKUP(C729,Tabela1[#All],4,0)*E729,"")</f>
        <v/>
      </c>
      <c r="H729" s="16"/>
    </row>
    <row r="730" spans="1:8" x14ac:dyDescent="0.25">
      <c r="A730" s="14" t="str">
        <f t="shared" ca="1" si="11"/>
        <v/>
      </c>
      <c r="D730" s="15" t="str">
        <f>IF(C730="","",VLOOKUP(C730,Tabela1[#All],2,0))</f>
        <v/>
      </c>
      <c r="F730" s="16" t="str" cm="1">
        <f t="array" ref="F730">IF(B730="","",(IF(B730="Compra de estoque","",(_xlfn.IFS(AND(B730="Venda de produtos",H730="Sul/Sudeste"),(VLOOKUP(C730,Tabela1[#All],9,0)*E730),AND(B730="Venda de produtos",H730="Nordeste"),(VLOOKUP(C730,Tabela1[#All],11,0)*E730),AND("Venda de produtos",H730="Norte/Centro-Oeste"),(VLOOKUP(C730,Tabela1[#All],13,0)*E730))))))</f>
        <v/>
      </c>
      <c r="G730" s="16" t="str">
        <f>IF(B730="Compra de estoque",VLOOKUP(C730,Tabela1[#All],4,0)*E730,"")</f>
        <v/>
      </c>
      <c r="H730" s="16"/>
    </row>
    <row r="731" spans="1:8" x14ac:dyDescent="0.25">
      <c r="A731" s="14" t="str">
        <f t="shared" ca="1" si="11"/>
        <v/>
      </c>
      <c r="D731" s="15" t="str">
        <f>IF(C731="","",VLOOKUP(C731,Tabela1[#All],2,0))</f>
        <v/>
      </c>
      <c r="F731" s="16" t="str" cm="1">
        <f t="array" ref="F731">IF(B731="","",(IF(B731="Compra de estoque","",(_xlfn.IFS(AND(B731="Venda de produtos",H731="Sul/Sudeste"),(VLOOKUP(C731,Tabela1[#All],9,0)*E731),AND(B731="Venda de produtos",H731="Nordeste"),(VLOOKUP(C731,Tabela1[#All],11,0)*E731),AND("Venda de produtos",H731="Norte/Centro-Oeste"),(VLOOKUP(C731,Tabela1[#All],13,0)*E731))))))</f>
        <v/>
      </c>
      <c r="G731" s="16" t="str">
        <f>IF(B731="Compra de estoque",VLOOKUP(C731,Tabela1[#All],4,0)*E731,"")</f>
        <v/>
      </c>
      <c r="H731" s="16"/>
    </row>
    <row r="732" spans="1:8" x14ac:dyDescent="0.25">
      <c r="A732" s="14" t="str">
        <f t="shared" ca="1" si="11"/>
        <v/>
      </c>
      <c r="D732" s="15" t="str">
        <f>IF(C732="","",VLOOKUP(C732,Tabela1[#All],2,0))</f>
        <v/>
      </c>
      <c r="F732" s="16" t="str" cm="1">
        <f t="array" ref="F732">IF(B732="","",(IF(B732="Compra de estoque","",(_xlfn.IFS(AND(B732="Venda de produtos",H732="Sul/Sudeste"),(VLOOKUP(C732,Tabela1[#All],9,0)*E732),AND(B732="Venda de produtos",H732="Nordeste"),(VLOOKUP(C732,Tabela1[#All],11,0)*E732),AND("Venda de produtos",H732="Norte/Centro-Oeste"),(VLOOKUP(C732,Tabela1[#All],13,0)*E732))))))</f>
        <v/>
      </c>
      <c r="G732" s="16" t="str">
        <f>IF(B732="Compra de estoque",VLOOKUP(C732,Tabela1[#All],4,0)*E732,"")</f>
        <v/>
      </c>
      <c r="H732" s="16"/>
    </row>
    <row r="733" spans="1:8" x14ac:dyDescent="0.25">
      <c r="A733" s="14" t="str">
        <f t="shared" ca="1" si="11"/>
        <v/>
      </c>
      <c r="D733" s="15" t="str">
        <f>IF(C733="","",VLOOKUP(C733,Tabela1[#All],2,0))</f>
        <v/>
      </c>
      <c r="F733" s="16" t="str" cm="1">
        <f t="array" ref="F733">IF(B733="","",(IF(B733="Compra de estoque","",(_xlfn.IFS(AND(B733="Venda de produtos",H733="Sul/Sudeste"),(VLOOKUP(C733,Tabela1[#All],9,0)*E733),AND(B733="Venda de produtos",H733="Nordeste"),(VLOOKUP(C733,Tabela1[#All],11,0)*E733),AND("Venda de produtos",H733="Norte/Centro-Oeste"),(VLOOKUP(C733,Tabela1[#All],13,0)*E733))))))</f>
        <v/>
      </c>
      <c r="G733" s="16" t="str">
        <f>IF(B733="Compra de estoque",VLOOKUP(C733,Tabela1[#All],4,0)*E733,"")</f>
        <v/>
      </c>
      <c r="H733" s="16"/>
    </row>
    <row r="734" spans="1:8" x14ac:dyDescent="0.25">
      <c r="A734" s="14" t="str">
        <f t="shared" ca="1" si="11"/>
        <v/>
      </c>
      <c r="D734" s="15" t="str">
        <f>IF(C734="","",VLOOKUP(C734,Tabela1[#All],2,0))</f>
        <v/>
      </c>
      <c r="F734" s="16" t="str" cm="1">
        <f t="array" ref="F734">IF(B734="","",(IF(B734="Compra de estoque","",(_xlfn.IFS(AND(B734="Venda de produtos",H734="Sul/Sudeste"),(VLOOKUP(C734,Tabela1[#All],9,0)*E734),AND(B734="Venda de produtos",H734="Nordeste"),(VLOOKUP(C734,Tabela1[#All],11,0)*E734),AND("Venda de produtos",H734="Norte/Centro-Oeste"),(VLOOKUP(C734,Tabela1[#All],13,0)*E734))))))</f>
        <v/>
      </c>
      <c r="G734" s="16" t="str">
        <f>IF(B734="Compra de estoque",VLOOKUP(C734,Tabela1[#All],4,0)*E734,"")</f>
        <v/>
      </c>
      <c r="H734" s="16"/>
    </row>
    <row r="735" spans="1:8" x14ac:dyDescent="0.25">
      <c r="A735" s="14" t="str">
        <f t="shared" ca="1" si="11"/>
        <v/>
      </c>
      <c r="D735" s="15" t="str">
        <f>IF(C735="","",VLOOKUP(C735,Tabela1[#All],2,0))</f>
        <v/>
      </c>
      <c r="F735" s="16" t="str" cm="1">
        <f t="array" ref="F735">IF(B735="","",(IF(B735="Compra de estoque","",(_xlfn.IFS(AND(B735="Venda de produtos",H735="Sul/Sudeste"),(VLOOKUP(C735,Tabela1[#All],9,0)*E735),AND(B735="Venda de produtos",H735="Nordeste"),(VLOOKUP(C735,Tabela1[#All],11,0)*E735),AND("Venda de produtos",H735="Norte/Centro-Oeste"),(VLOOKUP(C735,Tabela1[#All],13,0)*E735))))))</f>
        <v/>
      </c>
      <c r="G735" s="16" t="str">
        <f>IF(B735="Compra de estoque",VLOOKUP(C735,Tabela1[#All],4,0)*E735,"")</f>
        <v/>
      </c>
      <c r="H735" s="16"/>
    </row>
    <row r="736" spans="1:8" x14ac:dyDescent="0.25">
      <c r="A736" s="14" t="str">
        <f t="shared" ca="1" si="11"/>
        <v/>
      </c>
      <c r="D736" s="15" t="str">
        <f>IF(C736="","",VLOOKUP(C736,Tabela1[#All],2,0))</f>
        <v/>
      </c>
      <c r="F736" s="16" t="str" cm="1">
        <f t="array" ref="F736">IF(B736="","",(IF(B736="Compra de estoque","",(_xlfn.IFS(AND(B736="Venda de produtos",H736="Sul/Sudeste"),(VLOOKUP(C736,Tabela1[#All],9,0)*E736),AND(B736="Venda de produtos",H736="Nordeste"),(VLOOKUP(C736,Tabela1[#All],11,0)*E736),AND("Venda de produtos",H736="Norte/Centro-Oeste"),(VLOOKUP(C736,Tabela1[#All],13,0)*E736))))))</f>
        <v/>
      </c>
      <c r="G736" s="16" t="str">
        <f>IF(B736="Compra de estoque",VLOOKUP(C736,Tabela1[#All],4,0)*E736,"")</f>
        <v/>
      </c>
      <c r="H736" s="16"/>
    </row>
    <row r="737" spans="1:8" x14ac:dyDescent="0.25">
      <c r="A737" s="14" t="str">
        <f t="shared" ca="1" si="11"/>
        <v/>
      </c>
      <c r="D737" s="15" t="str">
        <f>IF(C737="","",VLOOKUP(C737,Tabela1[#All],2,0))</f>
        <v/>
      </c>
      <c r="F737" s="16" t="str" cm="1">
        <f t="array" ref="F737">IF(B737="","",(IF(B737="Compra de estoque","",(_xlfn.IFS(AND(B737="Venda de produtos",H737="Sul/Sudeste"),(VLOOKUP(C737,Tabela1[#All],9,0)*E737),AND(B737="Venda de produtos",H737="Nordeste"),(VLOOKUP(C737,Tabela1[#All],11,0)*E737),AND("Venda de produtos",H737="Norte/Centro-Oeste"),(VLOOKUP(C737,Tabela1[#All],13,0)*E737))))))</f>
        <v/>
      </c>
      <c r="G737" s="16" t="str">
        <f>IF(B737="Compra de estoque",VLOOKUP(C737,Tabela1[#All],4,0)*E737,"")</f>
        <v/>
      </c>
      <c r="H737" s="16"/>
    </row>
    <row r="738" spans="1:8" x14ac:dyDescent="0.25">
      <c r="A738" s="14" t="str">
        <f t="shared" ca="1" si="11"/>
        <v/>
      </c>
      <c r="D738" s="15" t="str">
        <f>IF(C738="","",VLOOKUP(C738,Tabela1[#All],2,0))</f>
        <v/>
      </c>
      <c r="F738" s="16" t="str" cm="1">
        <f t="array" ref="F738">IF(B738="","",(IF(B738="Compra de estoque","",(_xlfn.IFS(AND(B738="Venda de produtos",H738="Sul/Sudeste"),(VLOOKUP(C738,Tabela1[#All],9,0)*E738),AND(B738="Venda de produtos",H738="Nordeste"),(VLOOKUP(C738,Tabela1[#All],11,0)*E738),AND("Venda de produtos",H738="Norte/Centro-Oeste"),(VLOOKUP(C738,Tabela1[#All],13,0)*E738))))))</f>
        <v/>
      </c>
      <c r="G738" s="16" t="str">
        <f>IF(B738="Compra de estoque",VLOOKUP(C738,Tabela1[#All],4,0)*E738,"")</f>
        <v/>
      </c>
      <c r="H738" s="16"/>
    </row>
    <row r="739" spans="1:8" x14ac:dyDescent="0.25">
      <c r="A739" s="14" t="str">
        <f t="shared" ca="1" si="11"/>
        <v/>
      </c>
      <c r="D739" s="15" t="str">
        <f>IF(C739="","",VLOOKUP(C739,Tabela1[#All],2,0))</f>
        <v/>
      </c>
      <c r="F739" s="16" t="str" cm="1">
        <f t="array" ref="F739">IF(B739="","",(IF(B739="Compra de estoque","",(_xlfn.IFS(AND(B739="Venda de produtos",H739="Sul/Sudeste"),(VLOOKUP(C739,Tabela1[#All],9,0)*E739),AND(B739="Venda de produtos",H739="Nordeste"),(VLOOKUP(C739,Tabela1[#All],11,0)*E739),AND("Venda de produtos",H739="Norte/Centro-Oeste"),(VLOOKUP(C739,Tabela1[#All],13,0)*E739))))))</f>
        <v/>
      </c>
      <c r="G739" s="16" t="str">
        <f>IF(B739="Compra de estoque",VLOOKUP(C739,Tabela1[#All],4,0)*E739,"")</f>
        <v/>
      </c>
      <c r="H739" s="16"/>
    </row>
    <row r="740" spans="1:8" x14ac:dyDescent="0.25">
      <c r="A740" s="14" t="str">
        <f t="shared" ca="1" si="11"/>
        <v/>
      </c>
      <c r="D740" s="15" t="str">
        <f>IF(C740="","",VLOOKUP(C740,Tabela1[#All],2,0))</f>
        <v/>
      </c>
      <c r="F740" s="16" t="str" cm="1">
        <f t="array" ref="F740">IF(B740="","",(IF(B740="Compra de estoque","",(_xlfn.IFS(AND(B740="Venda de produtos",H740="Sul/Sudeste"),(VLOOKUP(C740,Tabela1[#All],9,0)*E740),AND(B740="Venda de produtos",H740="Nordeste"),(VLOOKUP(C740,Tabela1[#All],11,0)*E740),AND("Venda de produtos",H740="Norte/Centro-Oeste"),(VLOOKUP(C740,Tabela1[#All],13,0)*E740))))))</f>
        <v/>
      </c>
      <c r="G740" s="16" t="str">
        <f>IF(B740="Compra de estoque",VLOOKUP(C740,Tabela1[#All],4,0)*E740,"")</f>
        <v/>
      </c>
      <c r="H740" s="16"/>
    </row>
    <row r="741" spans="1:8" x14ac:dyDescent="0.25">
      <c r="A741" s="14" t="str">
        <f t="shared" ca="1" si="11"/>
        <v/>
      </c>
      <c r="D741" s="15" t="str">
        <f>IF(C741="","",VLOOKUP(C741,Tabela1[#All],2,0))</f>
        <v/>
      </c>
      <c r="F741" s="16" t="str" cm="1">
        <f t="array" ref="F741">IF(B741="","",(IF(B741="Compra de estoque","",(_xlfn.IFS(AND(B741="Venda de produtos",H741="Sul/Sudeste"),(VLOOKUP(C741,Tabela1[#All],9,0)*E741),AND(B741="Venda de produtos",H741="Nordeste"),(VLOOKUP(C741,Tabela1[#All],11,0)*E741),AND("Venda de produtos",H741="Norte/Centro-Oeste"),(VLOOKUP(C741,Tabela1[#All],13,0)*E741))))))</f>
        <v/>
      </c>
      <c r="G741" s="16" t="str">
        <f>IF(B741="Compra de estoque",VLOOKUP(C741,Tabela1[#All],4,0)*E741,"")</f>
        <v/>
      </c>
      <c r="H741" s="16"/>
    </row>
    <row r="742" spans="1:8" x14ac:dyDescent="0.25">
      <c r="A742" s="14" t="str">
        <f t="shared" ca="1" si="11"/>
        <v/>
      </c>
      <c r="D742" s="15" t="str">
        <f>IF(C742="","",VLOOKUP(C742,Tabela1[#All],2,0))</f>
        <v/>
      </c>
      <c r="F742" s="16" t="str" cm="1">
        <f t="array" ref="F742">IF(B742="","",(IF(B742="Compra de estoque","",(_xlfn.IFS(AND(B742="Venda de produtos",H742="Sul/Sudeste"),(VLOOKUP(C742,Tabela1[#All],9,0)*E742),AND(B742="Venda de produtos",H742="Nordeste"),(VLOOKUP(C742,Tabela1[#All],11,0)*E742),AND("Venda de produtos",H742="Norte/Centro-Oeste"),(VLOOKUP(C742,Tabela1[#All],13,0)*E742))))))</f>
        <v/>
      </c>
      <c r="G742" s="16" t="str">
        <f>IF(B742="Compra de estoque",VLOOKUP(C742,Tabela1[#All],4,0)*E742,"")</f>
        <v/>
      </c>
      <c r="H742" s="16"/>
    </row>
    <row r="743" spans="1:8" x14ac:dyDescent="0.25">
      <c r="A743" s="14" t="str">
        <f t="shared" ca="1" si="11"/>
        <v/>
      </c>
      <c r="D743" s="15" t="str">
        <f>IF(C743="","",VLOOKUP(C743,Tabela1[#All],2,0))</f>
        <v/>
      </c>
      <c r="F743" s="16" t="str" cm="1">
        <f t="array" ref="F743">IF(B743="","",(IF(B743="Compra de estoque","",(_xlfn.IFS(AND(B743="Venda de produtos",H743="Sul/Sudeste"),(VLOOKUP(C743,Tabela1[#All],9,0)*E743),AND(B743="Venda de produtos",H743="Nordeste"),(VLOOKUP(C743,Tabela1[#All],11,0)*E743),AND("Venda de produtos",H743="Norte/Centro-Oeste"),(VLOOKUP(C743,Tabela1[#All],13,0)*E743))))))</f>
        <v/>
      </c>
      <c r="G743" s="16" t="str">
        <f>IF(B743="Compra de estoque",VLOOKUP(C743,Tabela1[#All],4,0)*E743,"")</f>
        <v/>
      </c>
      <c r="H743" s="16"/>
    </row>
    <row r="744" spans="1:8" x14ac:dyDescent="0.25">
      <c r="A744" s="14" t="str">
        <f t="shared" ca="1" si="11"/>
        <v/>
      </c>
      <c r="D744" s="15" t="str">
        <f>IF(C744="","",VLOOKUP(C744,Tabela1[#All],2,0))</f>
        <v/>
      </c>
      <c r="F744" s="16" t="str" cm="1">
        <f t="array" ref="F744">IF(B744="","",(IF(B744="Compra de estoque","",(_xlfn.IFS(AND(B744="Venda de produtos",H744="Sul/Sudeste"),(VLOOKUP(C744,Tabela1[#All],9,0)*E744),AND(B744="Venda de produtos",H744="Nordeste"),(VLOOKUP(C744,Tabela1[#All],11,0)*E744),AND("Venda de produtos",H744="Norte/Centro-Oeste"),(VLOOKUP(C744,Tabela1[#All],13,0)*E744))))))</f>
        <v/>
      </c>
      <c r="G744" s="16" t="str">
        <f>IF(B744="Compra de estoque",VLOOKUP(C744,Tabela1[#All],4,0)*E744,"")</f>
        <v/>
      </c>
      <c r="H744" s="16"/>
    </row>
    <row r="745" spans="1:8" x14ac:dyDescent="0.25">
      <c r="A745" s="14" t="str">
        <f t="shared" ca="1" si="11"/>
        <v/>
      </c>
      <c r="D745" s="15" t="str">
        <f>IF(C745="","",VLOOKUP(C745,Tabela1[#All],2,0))</f>
        <v/>
      </c>
      <c r="F745" s="16" t="str" cm="1">
        <f t="array" ref="F745">IF(B745="","",(IF(B745="Compra de estoque","",(_xlfn.IFS(AND(B745="Venda de produtos",H745="Sul/Sudeste"),(VLOOKUP(C745,Tabela1[#All],9,0)*E745),AND(B745="Venda de produtos",H745="Nordeste"),(VLOOKUP(C745,Tabela1[#All],11,0)*E745),AND("Venda de produtos",H745="Norte/Centro-Oeste"),(VLOOKUP(C745,Tabela1[#All],13,0)*E745))))))</f>
        <v/>
      </c>
      <c r="G745" s="16" t="str">
        <f>IF(B745="Compra de estoque",VLOOKUP(C745,Tabela1[#All],4,0)*E745,"")</f>
        <v/>
      </c>
      <c r="H745" s="16"/>
    </row>
    <row r="746" spans="1:8" x14ac:dyDescent="0.25">
      <c r="A746" s="14" t="str">
        <f t="shared" ca="1" si="11"/>
        <v/>
      </c>
      <c r="D746" s="15" t="str">
        <f>IF(C746="","",VLOOKUP(C746,Tabela1[#All],2,0))</f>
        <v/>
      </c>
      <c r="F746" s="16" t="str" cm="1">
        <f t="array" ref="F746">IF(B746="","",(IF(B746="Compra de estoque","",(_xlfn.IFS(AND(B746="Venda de produtos",H746="Sul/Sudeste"),(VLOOKUP(C746,Tabela1[#All],9,0)*E746),AND(B746="Venda de produtos",H746="Nordeste"),(VLOOKUP(C746,Tabela1[#All],11,0)*E746),AND("Venda de produtos",H746="Norte/Centro-Oeste"),(VLOOKUP(C746,Tabela1[#All],13,0)*E746))))))</f>
        <v/>
      </c>
      <c r="G746" s="16" t="str">
        <f>IF(B746="Compra de estoque",VLOOKUP(C746,Tabela1[#All],4,0)*E746,"")</f>
        <v/>
      </c>
      <c r="H746" s="16"/>
    </row>
    <row r="747" spans="1:8" x14ac:dyDescent="0.25">
      <c r="A747" s="14" t="str">
        <f t="shared" ca="1" si="11"/>
        <v/>
      </c>
      <c r="D747" s="15" t="str">
        <f>IF(C747="","",VLOOKUP(C747,Tabela1[#All],2,0))</f>
        <v/>
      </c>
      <c r="F747" s="16" t="str" cm="1">
        <f t="array" ref="F747">IF(B747="","",(IF(B747="Compra de estoque","",(_xlfn.IFS(AND(B747="Venda de produtos",H747="Sul/Sudeste"),(VLOOKUP(C747,Tabela1[#All],9,0)*E747),AND(B747="Venda de produtos",H747="Nordeste"),(VLOOKUP(C747,Tabela1[#All],11,0)*E747),AND("Venda de produtos",H747="Norte/Centro-Oeste"),(VLOOKUP(C747,Tabela1[#All],13,0)*E747))))))</f>
        <v/>
      </c>
      <c r="G747" s="16" t="str">
        <f>IF(B747="Compra de estoque",VLOOKUP(C747,Tabela1[#All],4,0)*E747,"")</f>
        <v/>
      </c>
      <c r="H747" s="16"/>
    </row>
    <row r="748" spans="1:8" x14ac:dyDescent="0.25">
      <c r="A748" s="14" t="str">
        <f t="shared" ca="1" si="11"/>
        <v/>
      </c>
      <c r="D748" s="15" t="str">
        <f>IF(C748="","",VLOOKUP(C748,Tabela1[#All],2,0))</f>
        <v/>
      </c>
      <c r="F748" s="16" t="str" cm="1">
        <f t="array" ref="F748">IF(B748="","",(IF(B748="Compra de estoque","",(_xlfn.IFS(AND(B748="Venda de produtos",H748="Sul/Sudeste"),(VLOOKUP(C748,Tabela1[#All],9,0)*E748),AND(B748="Venda de produtos",H748="Nordeste"),(VLOOKUP(C748,Tabela1[#All],11,0)*E748),AND("Venda de produtos",H748="Norte/Centro-Oeste"),(VLOOKUP(C748,Tabela1[#All],13,0)*E748))))))</f>
        <v/>
      </c>
      <c r="G748" s="16" t="str">
        <f>IF(B748="Compra de estoque",VLOOKUP(C748,Tabela1[#All],4,0)*E748,"")</f>
        <v/>
      </c>
      <c r="H748" s="16"/>
    </row>
    <row r="749" spans="1:8" x14ac:dyDescent="0.25">
      <c r="A749" s="14" t="str">
        <f t="shared" ca="1" si="11"/>
        <v/>
      </c>
      <c r="D749" s="15" t="str">
        <f>IF(C749="","",VLOOKUP(C749,Tabela1[#All],2,0))</f>
        <v/>
      </c>
      <c r="F749" s="16" t="str" cm="1">
        <f t="array" ref="F749">IF(B749="","",(IF(B749="Compra de estoque","",(_xlfn.IFS(AND(B749="Venda de produtos",H749="Sul/Sudeste"),(VLOOKUP(C749,Tabela1[#All],9,0)*E749),AND(B749="Venda de produtos",H749="Nordeste"),(VLOOKUP(C749,Tabela1[#All],11,0)*E749),AND("Venda de produtos",H749="Norte/Centro-Oeste"),(VLOOKUP(C749,Tabela1[#All],13,0)*E749))))))</f>
        <v/>
      </c>
      <c r="G749" s="16" t="str">
        <f>IF(B749="Compra de estoque",VLOOKUP(C749,Tabela1[#All],4,0)*E749,"")</f>
        <v/>
      </c>
      <c r="H749" s="16"/>
    </row>
    <row r="750" spans="1:8" x14ac:dyDescent="0.25">
      <c r="A750" s="14" t="str">
        <f t="shared" ca="1" si="11"/>
        <v/>
      </c>
      <c r="D750" s="15" t="str">
        <f>IF(C750="","",VLOOKUP(C750,Tabela1[#All],2,0))</f>
        <v/>
      </c>
      <c r="F750" s="16" t="str" cm="1">
        <f t="array" ref="F750">IF(B750="","",(IF(B750="Compra de estoque","",(_xlfn.IFS(AND(B750="Venda de produtos",H750="Sul/Sudeste"),(VLOOKUP(C750,Tabela1[#All],9,0)*E750),AND(B750="Venda de produtos",H750="Nordeste"),(VLOOKUP(C750,Tabela1[#All],11,0)*E750),AND("Venda de produtos",H750="Norte/Centro-Oeste"),(VLOOKUP(C750,Tabela1[#All],13,0)*E750))))))</f>
        <v/>
      </c>
      <c r="G750" s="16" t="str">
        <f>IF(B750="Compra de estoque",VLOOKUP(C750,Tabela1[#All],4,0)*E750,"")</f>
        <v/>
      </c>
      <c r="H750" s="16"/>
    </row>
    <row r="751" spans="1:8" x14ac:dyDescent="0.25">
      <c r="A751" s="14" t="str">
        <f t="shared" ca="1" si="11"/>
        <v/>
      </c>
      <c r="D751" s="15" t="str">
        <f>IF(C751="","",VLOOKUP(C751,Tabela1[#All],2,0))</f>
        <v/>
      </c>
      <c r="F751" s="16" t="str" cm="1">
        <f t="array" ref="F751">IF(B751="","",(IF(B751="Compra de estoque","",(_xlfn.IFS(AND(B751="Venda de produtos",H751="Sul/Sudeste"),(VLOOKUP(C751,Tabela1[#All],9,0)*E751),AND(B751="Venda de produtos",H751="Nordeste"),(VLOOKUP(C751,Tabela1[#All],11,0)*E751),AND("Venda de produtos",H751="Norte/Centro-Oeste"),(VLOOKUP(C751,Tabela1[#All],13,0)*E751))))))</f>
        <v/>
      </c>
      <c r="G751" s="16" t="str">
        <f>IF(B751="Compra de estoque",VLOOKUP(C751,Tabela1[#All],4,0)*E751,"")</f>
        <v/>
      </c>
      <c r="H751" s="16"/>
    </row>
    <row r="752" spans="1:8" x14ac:dyDescent="0.25">
      <c r="A752" s="14" t="str">
        <f t="shared" ca="1" si="11"/>
        <v/>
      </c>
      <c r="D752" s="15" t="str">
        <f>IF(C752="","",VLOOKUP(C752,Tabela1[#All],2,0))</f>
        <v/>
      </c>
      <c r="F752" s="16" t="str" cm="1">
        <f t="array" ref="F752">IF(B752="","",(IF(B752="Compra de estoque","",(_xlfn.IFS(AND(B752="Venda de produtos",H752="Sul/Sudeste"),(VLOOKUP(C752,Tabela1[#All],9,0)*E752),AND(B752="Venda de produtos",H752="Nordeste"),(VLOOKUP(C752,Tabela1[#All],11,0)*E752),AND("Venda de produtos",H752="Norte/Centro-Oeste"),(VLOOKUP(C752,Tabela1[#All],13,0)*E752))))))</f>
        <v/>
      </c>
      <c r="G752" s="16" t="str">
        <f>IF(B752="Compra de estoque",VLOOKUP(C752,Tabela1[#All],4,0)*E752,"")</f>
        <v/>
      </c>
      <c r="H752" s="16"/>
    </row>
    <row r="753" spans="1:8" x14ac:dyDescent="0.25">
      <c r="A753" s="14" t="str">
        <f t="shared" ca="1" si="11"/>
        <v/>
      </c>
      <c r="D753" s="15" t="str">
        <f>IF(C753="","",VLOOKUP(C753,Tabela1[#All],2,0))</f>
        <v/>
      </c>
      <c r="F753" s="16" t="str" cm="1">
        <f t="array" ref="F753">IF(B753="","",(IF(B753="Compra de estoque","",(_xlfn.IFS(AND(B753="Venda de produtos",H753="Sul/Sudeste"),(VLOOKUP(C753,Tabela1[#All],9,0)*E753),AND(B753="Venda de produtos",H753="Nordeste"),(VLOOKUP(C753,Tabela1[#All],11,0)*E753),AND("Venda de produtos",H753="Norte/Centro-Oeste"),(VLOOKUP(C753,Tabela1[#All],13,0)*E753))))))</f>
        <v/>
      </c>
      <c r="G753" s="16" t="str">
        <f>IF(B753="Compra de estoque",VLOOKUP(C753,Tabela1[#All],4,0)*E753,"")</f>
        <v/>
      </c>
      <c r="H753" s="16"/>
    </row>
    <row r="754" spans="1:8" x14ac:dyDescent="0.25">
      <c r="A754" s="14" t="str">
        <f t="shared" ca="1" si="11"/>
        <v/>
      </c>
      <c r="D754" s="15" t="str">
        <f>IF(C754="","",VLOOKUP(C754,Tabela1[#All],2,0))</f>
        <v/>
      </c>
      <c r="F754" s="16" t="str" cm="1">
        <f t="array" ref="F754">IF(B754="","",(IF(B754="Compra de estoque","",(_xlfn.IFS(AND(B754="Venda de produtos",H754="Sul/Sudeste"),(VLOOKUP(C754,Tabela1[#All],9,0)*E754),AND(B754="Venda de produtos",H754="Nordeste"),(VLOOKUP(C754,Tabela1[#All],11,0)*E754),AND("Venda de produtos",H754="Norte/Centro-Oeste"),(VLOOKUP(C754,Tabela1[#All],13,0)*E754))))))</f>
        <v/>
      </c>
      <c r="G754" s="16" t="str">
        <f>IF(B754="Compra de estoque",VLOOKUP(C754,Tabela1[#All],4,0)*E754,"")</f>
        <v/>
      </c>
      <c r="H754" s="16"/>
    </row>
    <row r="755" spans="1:8" x14ac:dyDescent="0.25">
      <c r="A755" s="14" t="str">
        <f t="shared" ca="1" si="11"/>
        <v/>
      </c>
      <c r="D755" s="15" t="str">
        <f>IF(C755="","",VLOOKUP(C755,Tabela1[#All],2,0))</f>
        <v/>
      </c>
      <c r="F755" s="16" t="str" cm="1">
        <f t="array" ref="F755">IF(B755="","",(IF(B755="Compra de estoque","",(_xlfn.IFS(AND(B755="Venda de produtos",H755="Sul/Sudeste"),(VLOOKUP(C755,Tabela1[#All],9,0)*E755),AND(B755="Venda de produtos",H755="Nordeste"),(VLOOKUP(C755,Tabela1[#All],11,0)*E755),AND("Venda de produtos",H755="Norte/Centro-Oeste"),(VLOOKUP(C755,Tabela1[#All],13,0)*E755))))))</f>
        <v/>
      </c>
      <c r="G755" s="16" t="str">
        <f>IF(B755="Compra de estoque",VLOOKUP(C755,Tabela1[#All],4,0)*E755,"")</f>
        <v/>
      </c>
      <c r="H755" s="16"/>
    </row>
    <row r="756" spans="1:8" x14ac:dyDescent="0.25">
      <c r="A756" s="14" t="str">
        <f t="shared" ca="1" si="11"/>
        <v/>
      </c>
      <c r="D756" s="15" t="str">
        <f>IF(C756="","",VLOOKUP(C756,Tabela1[#All],2,0))</f>
        <v/>
      </c>
      <c r="F756" s="16" t="str" cm="1">
        <f t="array" ref="F756">IF(B756="","",(IF(B756="Compra de estoque","",(_xlfn.IFS(AND(B756="Venda de produtos",H756="Sul/Sudeste"),(VLOOKUP(C756,Tabela1[#All],9,0)*E756),AND(B756="Venda de produtos",H756="Nordeste"),(VLOOKUP(C756,Tabela1[#All],11,0)*E756),AND("Venda de produtos",H756="Norte/Centro-Oeste"),(VLOOKUP(C756,Tabela1[#All],13,0)*E756))))))</f>
        <v/>
      </c>
      <c r="G756" s="16" t="str">
        <f>IF(B756="Compra de estoque",VLOOKUP(C756,Tabela1[#All],4,0)*E756,"")</f>
        <v/>
      </c>
      <c r="H756" s="16"/>
    </row>
    <row r="757" spans="1:8" x14ac:dyDescent="0.25">
      <c r="A757" s="14" t="str">
        <f t="shared" ca="1" si="11"/>
        <v/>
      </c>
      <c r="D757" s="15" t="str">
        <f>IF(C757="","",VLOOKUP(C757,Tabela1[#All],2,0))</f>
        <v/>
      </c>
      <c r="F757" s="16" t="str" cm="1">
        <f t="array" ref="F757">IF(B757="","",(IF(B757="Compra de estoque","",(_xlfn.IFS(AND(B757="Venda de produtos",H757="Sul/Sudeste"),(VLOOKUP(C757,Tabela1[#All],9,0)*E757),AND(B757="Venda de produtos",H757="Nordeste"),(VLOOKUP(C757,Tabela1[#All],11,0)*E757),AND("Venda de produtos",H757="Norte/Centro-Oeste"),(VLOOKUP(C757,Tabela1[#All],13,0)*E757))))))</f>
        <v/>
      </c>
      <c r="G757" s="16" t="str">
        <f>IF(B757="Compra de estoque",VLOOKUP(C757,Tabela1[#All],4,0)*E757,"")</f>
        <v/>
      </c>
      <c r="H757" s="16"/>
    </row>
    <row r="758" spans="1:8" x14ac:dyDescent="0.25">
      <c r="A758" s="14" t="str">
        <f t="shared" ca="1" si="11"/>
        <v/>
      </c>
      <c r="D758" s="15" t="str">
        <f>IF(C758="","",VLOOKUP(C758,Tabela1[#All],2,0))</f>
        <v/>
      </c>
      <c r="F758" s="16" t="str" cm="1">
        <f t="array" ref="F758">IF(B758="","",(IF(B758="Compra de estoque","",(_xlfn.IFS(AND(B758="Venda de produtos",H758="Sul/Sudeste"),(VLOOKUP(C758,Tabela1[#All],9,0)*E758),AND(B758="Venda de produtos",H758="Nordeste"),(VLOOKUP(C758,Tabela1[#All],11,0)*E758),AND("Venda de produtos",H758="Norte/Centro-Oeste"),(VLOOKUP(C758,Tabela1[#All],13,0)*E758))))))</f>
        <v/>
      </c>
      <c r="G758" s="16" t="str">
        <f>IF(B758="Compra de estoque",VLOOKUP(C758,Tabela1[#All],4,0)*E758,"")</f>
        <v/>
      </c>
      <c r="H758" s="16"/>
    </row>
    <row r="759" spans="1:8" x14ac:dyDescent="0.25">
      <c r="A759" s="14" t="str">
        <f t="shared" ca="1" si="11"/>
        <v/>
      </c>
      <c r="D759" s="15" t="str">
        <f>IF(C759="","",VLOOKUP(C759,Tabela1[#All],2,0))</f>
        <v/>
      </c>
      <c r="F759" s="16" t="str" cm="1">
        <f t="array" ref="F759">IF(B759="","",(IF(B759="Compra de estoque","",(_xlfn.IFS(AND(B759="Venda de produtos",H759="Sul/Sudeste"),(VLOOKUP(C759,Tabela1[#All],9,0)*E759),AND(B759="Venda de produtos",H759="Nordeste"),(VLOOKUP(C759,Tabela1[#All],11,0)*E759),AND("Venda de produtos",H759="Norte/Centro-Oeste"),(VLOOKUP(C759,Tabela1[#All],13,0)*E759))))))</f>
        <v/>
      </c>
      <c r="G759" s="16" t="str">
        <f>IF(B759="Compra de estoque",VLOOKUP(C759,Tabela1[#All],4,0)*E759,"")</f>
        <v/>
      </c>
      <c r="H759" s="16"/>
    </row>
    <row r="760" spans="1:8" x14ac:dyDescent="0.25">
      <c r="A760" s="14" t="str">
        <f t="shared" ca="1" si="11"/>
        <v/>
      </c>
      <c r="D760" s="15" t="str">
        <f>IF(C760="","",VLOOKUP(C760,Tabela1[#All],2,0))</f>
        <v/>
      </c>
      <c r="F760" s="16" t="str" cm="1">
        <f t="array" ref="F760">IF(B760="","",(IF(B760="Compra de estoque","",(_xlfn.IFS(AND(B760="Venda de produtos",H760="Sul/Sudeste"),(VLOOKUP(C760,Tabela1[#All],9,0)*E760),AND(B760="Venda de produtos",H760="Nordeste"),(VLOOKUP(C760,Tabela1[#All],11,0)*E760),AND("Venda de produtos",H760="Norte/Centro-Oeste"),(VLOOKUP(C760,Tabela1[#All],13,0)*E760))))))</f>
        <v/>
      </c>
      <c r="G760" s="16" t="str">
        <f>IF(B760="Compra de estoque",VLOOKUP(C760,Tabela1[#All],4,0)*E760,"")</f>
        <v/>
      </c>
      <c r="H760" s="16"/>
    </row>
    <row r="761" spans="1:8" x14ac:dyDescent="0.25">
      <c r="A761" s="14" t="str">
        <f t="shared" ca="1" si="11"/>
        <v/>
      </c>
      <c r="D761" s="15" t="str">
        <f>IF(C761="","",VLOOKUP(C761,Tabela1[#All],2,0))</f>
        <v/>
      </c>
      <c r="F761" s="16" t="str" cm="1">
        <f t="array" ref="F761">IF(B761="","",(IF(B761="Compra de estoque","",(_xlfn.IFS(AND(B761="Venda de produtos",H761="Sul/Sudeste"),(VLOOKUP(C761,Tabela1[#All],9,0)*E761),AND(B761="Venda de produtos",H761="Nordeste"),(VLOOKUP(C761,Tabela1[#All],11,0)*E761),AND("Venda de produtos",H761="Norte/Centro-Oeste"),(VLOOKUP(C761,Tabela1[#All],13,0)*E761))))))</f>
        <v/>
      </c>
      <c r="G761" s="16" t="str">
        <f>IF(B761="Compra de estoque",VLOOKUP(C761,Tabela1[#All],4,0)*E761,"")</f>
        <v/>
      </c>
      <c r="H761" s="16"/>
    </row>
    <row r="762" spans="1:8" x14ac:dyDescent="0.25">
      <c r="A762" s="14" t="str">
        <f t="shared" ca="1" si="11"/>
        <v/>
      </c>
      <c r="D762" s="15" t="str">
        <f>IF(C762="","",VLOOKUP(C762,Tabela1[#All],2,0))</f>
        <v/>
      </c>
      <c r="F762" s="16" t="str" cm="1">
        <f t="array" ref="F762">IF(B762="","",(IF(B762="Compra de estoque","",(_xlfn.IFS(AND(B762="Venda de produtos",H762="Sul/Sudeste"),(VLOOKUP(C762,Tabela1[#All],9,0)*E762),AND(B762="Venda de produtos",H762="Nordeste"),(VLOOKUP(C762,Tabela1[#All],11,0)*E762),AND("Venda de produtos",H762="Norte/Centro-Oeste"),(VLOOKUP(C762,Tabela1[#All],13,0)*E762))))))</f>
        <v/>
      </c>
      <c r="G762" s="16" t="str">
        <f>IF(B762="Compra de estoque",VLOOKUP(C762,Tabela1[#All],4,0)*E762,"")</f>
        <v/>
      </c>
      <c r="H762" s="16"/>
    </row>
    <row r="763" spans="1:8" x14ac:dyDescent="0.25">
      <c r="A763" s="14" t="str">
        <f t="shared" ca="1" si="11"/>
        <v/>
      </c>
      <c r="D763" s="15" t="str">
        <f>IF(C763="","",VLOOKUP(C763,Tabela1[#All],2,0))</f>
        <v/>
      </c>
      <c r="F763" s="16" t="str" cm="1">
        <f t="array" ref="F763">IF(B763="","",(IF(B763="Compra de estoque","",(_xlfn.IFS(AND(B763="Venda de produtos",H763="Sul/Sudeste"),(VLOOKUP(C763,Tabela1[#All],9,0)*E763),AND(B763="Venda de produtos",H763="Nordeste"),(VLOOKUP(C763,Tabela1[#All],11,0)*E763),AND("Venda de produtos",H763="Norte/Centro-Oeste"),(VLOOKUP(C763,Tabela1[#All],13,0)*E763))))))</f>
        <v/>
      </c>
      <c r="G763" s="16" t="str">
        <f>IF(B763="Compra de estoque",VLOOKUP(C763,Tabela1[#All],4,0)*E763,"")</f>
        <v/>
      </c>
      <c r="H763" s="16"/>
    </row>
    <row r="764" spans="1:8" x14ac:dyDescent="0.25">
      <c r="A764" s="14" t="str">
        <f t="shared" ca="1" si="11"/>
        <v/>
      </c>
      <c r="D764" s="15" t="str">
        <f>IF(C764="","",VLOOKUP(C764,Tabela1[#All],2,0))</f>
        <v/>
      </c>
      <c r="F764" s="16" t="str" cm="1">
        <f t="array" ref="F764">IF(B764="","",(IF(B764="Compra de estoque","",(_xlfn.IFS(AND(B764="Venda de produtos",H764="Sul/Sudeste"),(VLOOKUP(C764,Tabela1[#All],9,0)*E764),AND(B764="Venda de produtos",H764="Nordeste"),(VLOOKUP(C764,Tabela1[#All],11,0)*E764),AND("Venda de produtos",H764="Norte/Centro-Oeste"),(VLOOKUP(C764,Tabela1[#All],13,0)*E764))))))</f>
        <v/>
      </c>
      <c r="G764" s="16" t="str">
        <f>IF(B764="Compra de estoque",VLOOKUP(C764,Tabela1[#All],4,0)*E764,"")</f>
        <v/>
      </c>
      <c r="H764" s="16"/>
    </row>
    <row r="765" spans="1:8" x14ac:dyDescent="0.25">
      <c r="A765" s="14" t="str">
        <f t="shared" ca="1" si="11"/>
        <v/>
      </c>
      <c r="D765" s="15" t="str">
        <f>IF(C765="","",VLOOKUP(C765,Tabela1[#All],2,0))</f>
        <v/>
      </c>
      <c r="F765" s="16" t="str" cm="1">
        <f t="array" ref="F765">IF(B765="","",(IF(B765="Compra de estoque","",(_xlfn.IFS(AND(B765="Venda de produtos",H765="Sul/Sudeste"),(VLOOKUP(C765,Tabela1[#All],9,0)*E765),AND(B765="Venda de produtos",H765="Nordeste"),(VLOOKUP(C765,Tabela1[#All],11,0)*E765),AND("Venda de produtos",H765="Norte/Centro-Oeste"),(VLOOKUP(C765,Tabela1[#All],13,0)*E765))))))</f>
        <v/>
      </c>
      <c r="G765" s="16" t="str">
        <f>IF(B765="Compra de estoque",VLOOKUP(C765,Tabela1[#All],4,0)*E765,"")</f>
        <v/>
      </c>
      <c r="H765" s="16"/>
    </row>
    <row r="766" spans="1:8" x14ac:dyDescent="0.25">
      <c r="A766" s="14" t="str">
        <f t="shared" ca="1" si="11"/>
        <v/>
      </c>
      <c r="D766" s="15" t="str">
        <f>IF(C766="","",VLOOKUP(C766,Tabela1[#All],2,0))</f>
        <v/>
      </c>
      <c r="F766" s="16" t="str" cm="1">
        <f t="array" ref="F766">IF(B766="","",(IF(B766="Compra de estoque","",(_xlfn.IFS(AND(B766="Venda de produtos",H766="Sul/Sudeste"),(VLOOKUP(C766,Tabela1[#All],9,0)*E766),AND(B766="Venda de produtos",H766="Nordeste"),(VLOOKUP(C766,Tabela1[#All],11,0)*E766),AND("Venda de produtos",H766="Norte/Centro-Oeste"),(VLOOKUP(C766,Tabela1[#All],13,0)*E766))))))</f>
        <v/>
      </c>
      <c r="G766" s="16" t="str">
        <f>IF(B766="Compra de estoque",VLOOKUP(C766,Tabela1[#All],4,0)*E766,"")</f>
        <v/>
      </c>
      <c r="H766" s="16"/>
    </row>
    <row r="767" spans="1:8" x14ac:dyDescent="0.25">
      <c r="A767" s="14" t="str">
        <f t="shared" ca="1" si="11"/>
        <v/>
      </c>
      <c r="D767" s="15" t="str">
        <f>IF(C767="","",VLOOKUP(C767,Tabela1[#All],2,0))</f>
        <v/>
      </c>
      <c r="F767" s="16" t="str" cm="1">
        <f t="array" ref="F767">IF(B767="","",(IF(B767="Compra de estoque","",(_xlfn.IFS(AND(B767="Venda de produtos",H767="Sul/Sudeste"),(VLOOKUP(C767,Tabela1[#All],9,0)*E767),AND(B767="Venda de produtos",H767="Nordeste"),(VLOOKUP(C767,Tabela1[#All],11,0)*E767),AND("Venda de produtos",H767="Norte/Centro-Oeste"),(VLOOKUP(C767,Tabela1[#All],13,0)*E767))))))</f>
        <v/>
      </c>
      <c r="G767" s="16" t="str">
        <f>IF(B767="Compra de estoque",VLOOKUP(C767,Tabela1[#All],4,0)*E767,"")</f>
        <v/>
      </c>
      <c r="H767" s="16"/>
    </row>
    <row r="768" spans="1:8" x14ac:dyDescent="0.25">
      <c r="A768" s="14" t="str">
        <f t="shared" ca="1" si="11"/>
        <v/>
      </c>
      <c r="D768" s="15" t="str">
        <f>IF(C768="","",VLOOKUP(C768,Tabela1[#All],2,0))</f>
        <v/>
      </c>
      <c r="F768" s="16" t="str" cm="1">
        <f t="array" ref="F768">IF(B768="","",(IF(B768="Compra de estoque","",(_xlfn.IFS(AND(B768="Venda de produtos",H768="Sul/Sudeste"),(VLOOKUP(C768,Tabela1[#All],9,0)*E768),AND(B768="Venda de produtos",H768="Nordeste"),(VLOOKUP(C768,Tabela1[#All],11,0)*E768),AND("Venda de produtos",H768="Norte/Centro-Oeste"),(VLOOKUP(C768,Tabela1[#All],13,0)*E768))))))</f>
        <v/>
      </c>
      <c r="G768" s="16" t="str">
        <f>IF(B768="Compra de estoque",VLOOKUP(C768,Tabela1[#All],4,0)*E768,"")</f>
        <v/>
      </c>
      <c r="H768" s="16"/>
    </row>
    <row r="769" spans="1:8" x14ac:dyDescent="0.25">
      <c r="A769" s="14" t="str">
        <f t="shared" ca="1" si="11"/>
        <v/>
      </c>
      <c r="D769" s="15" t="str">
        <f>IF(C769="","",VLOOKUP(C769,Tabela1[#All],2,0))</f>
        <v/>
      </c>
      <c r="F769" s="16" t="str" cm="1">
        <f t="array" ref="F769">IF(B769="","",(IF(B769="Compra de estoque","",(_xlfn.IFS(AND(B769="Venda de produtos",H769="Sul/Sudeste"),(VLOOKUP(C769,Tabela1[#All],9,0)*E769),AND(B769="Venda de produtos",H769="Nordeste"),(VLOOKUP(C769,Tabela1[#All],11,0)*E769),AND("Venda de produtos",H769="Norte/Centro-Oeste"),(VLOOKUP(C769,Tabela1[#All],13,0)*E769))))))</f>
        <v/>
      </c>
      <c r="G769" s="16" t="str">
        <f>IF(B769="Compra de estoque",VLOOKUP(C769,Tabela1[#All],4,0)*E769,"")</f>
        <v/>
      </c>
      <c r="H769" s="16"/>
    </row>
    <row r="770" spans="1:8" x14ac:dyDescent="0.25">
      <c r="A770" s="14" t="str">
        <f t="shared" ca="1" si="11"/>
        <v/>
      </c>
      <c r="D770" s="15" t="str">
        <f>IF(C770="","",VLOOKUP(C770,Tabela1[#All],2,0))</f>
        <v/>
      </c>
      <c r="F770" s="16" t="str" cm="1">
        <f t="array" ref="F770">IF(B770="","",(IF(B770="Compra de estoque","",(_xlfn.IFS(AND(B770="Venda de produtos",H770="Sul/Sudeste"),(VLOOKUP(C770,Tabela1[#All],9,0)*E770),AND(B770="Venda de produtos",H770="Nordeste"),(VLOOKUP(C770,Tabela1[#All],11,0)*E770),AND("Venda de produtos",H770="Norte/Centro-Oeste"),(VLOOKUP(C770,Tabela1[#All],13,0)*E770))))))</f>
        <v/>
      </c>
      <c r="G770" s="16" t="str">
        <f>IF(B770="Compra de estoque",VLOOKUP(C770,Tabela1[#All],4,0)*E770,"")</f>
        <v/>
      </c>
      <c r="H770" s="16"/>
    </row>
    <row r="771" spans="1:8" x14ac:dyDescent="0.25">
      <c r="A771" s="14" t="str">
        <f t="shared" ref="A771:A834" ca="1" si="12">IF(C771="","",NOW())</f>
        <v/>
      </c>
      <c r="D771" s="15" t="str">
        <f>IF(C771="","",VLOOKUP(C771,Tabela1[#All],2,0))</f>
        <v/>
      </c>
      <c r="F771" s="16" t="str" cm="1">
        <f t="array" ref="F771">IF(B771="","",(IF(B771="Compra de estoque","",(_xlfn.IFS(AND(B771="Venda de produtos",H771="Sul/Sudeste"),(VLOOKUP(C771,Tabela1[#All],9,0)*E771),AND(B771="Venda de produtos",H771="Nordeste"),(VLOOKUP(C771,Tabela1[#All],11,0)*E771),AND("Venda de produtos",H771="Norte/Centro-Oeste"),(VLOOKUP(C771,Tabela1[#All],13,0)*E771))))))</f>
        <v/>
      </c>
      <c r="G771" s="16" t="str">
        <f>IF(B771="Compra de estoque",VLOOKUP(C771,Tabela1[#All],4,0)*E771,"")</f>
        <v/>
      </c>
      <c r="H771" s="16"/>
    </row>
    <row r="772" spans="1:8" x14ac:dyDescent="0.25">
      <c r="A772" s="14" t="str">
        <f t="shared" ca="1" si="12"/>
        <v/>
      </c>
      <c r="D772" s="15" t="str">
        <f>IF(C772="","",VLOOKUP(C772,Tabela1[#All],2,0))</f>
        <v/>
      </c>
      <c r="F772" s="16" t="str" cm="1">
        <f t="array" ref="F772">IF(B772="","",(IF(B772="Compra de estoque","",(_xlfn.IFS(AND(B772="Venda de produtos",H772="Sul/Sudeste"),(VLOOKUP(C772,Tabela1[#All],9,0)*E772),AND(B772="Venda de produtos",H772="Nordeste"),(VLOOKUP(C772,Tabela1[#All],11,0)*E772),AND("Venda de produtos",H772="Norte/Centro-Oeste"),(VLOOKUP(C772,Tabela1[#All],13,0)*E772))))))</f>
        <v/>
      </c>
      <c r="G772" s="16" t="str">
        <f>IF(B772="Compra de estoque",VLOOKUP(C772,Tabela1[#All],4,0)*E772,"")</f>
        <v/>
      </c>
      <c r="H772" s="16"/>
    </row>
    <row r="773" spans="1:8" x14ac:dyDescent="0.25">
      <c r="A773" s="14" t="str">
        <f t="shared" ca="1" si="12"/>
        <v/>
      </c>
      <c r="D773" s="15" t="str">
        <f>IF(C773="","",VLOOKUP(C773,Tabela1[#All],2,0))</f>
        <v/>
      </c>
      <c r="F773" s="16" t="str" cm="1">
        <f t="array" ref="F773">IF(B773="","",(IF(B773="Compra de estoque","",(_xlfn.IFS(AND(B773="Venda de produtos",H773="Sul/Sudeste"),(VLOOKUP(C773,Tabela1[#All],9,0)*E773),AND(B773="Venda de produtos",H773="Nordeste"),(VLOOKUP(C773,Tabela1[#All],11,0)*E773),AND("Venda de produtos",H773="Norte/Centro-Oeste"),(VLOOKUP(C773,Tabela1[#All],13,0)*E773))))))</f>
        <v/>
      </c>
      <c r="G773" s="16" t="str">
        <f>IF(B773="Compra de estoque",VLOOKUP(C773,Tabela1[#All],4,0)*E773,"")</f>
        <v/>
      </c>
      <c r="H773" s="16"/>
    </row>
    <row r="774" spans="1:8" x14ac:dyDescent="0.25">
      <c r="A774" s="14" t="str">
        <f t="shared" ca="1" si="12"/>
        <v/>
      </c>
      <c r="D774" s="15" t="str">
        <f>IF(C774="","",VLOOKUP(C774,Tabela1[#All],2,0))</f>
        <v/>
      </c>
      <c r="F774" s="16" t="str" cm="1">
        <f t="array" ref="F774">IF(B774="","",(IF(B774="Compra de estoque","",(_xlfn.IFS(AND(B774="Venda de produtos",H774="Sul/Sudeste"),(VLOOKUP(C774,Tabela1[#All],9,0)*E774),AND(B774="Venda de produtos",H774="Nordeste"),(VLOOKUP(C774,Tabela1[#All],11,0)*E774),AND("Venda de produtos",H774="Norte/Centro-Oeste"),(VLOOKUP(C774,Tabela1[#All],13,0)*E774))))))</f>
        <v/>
      </c>
      <c r="G774" s="16" t="str">
        <f>IF(B774="Compra de estoque",VLOOKUP(C774,Tabela1[#All],4,0)*E774,"")</f>
        <v/>
      </c>
      <c r="H774" s="16"/>
    </row>
    <row r="775" spans="1:8" x14ac:dyDescent="0.25">
      <c r="A775" s="14" t="str">
        <f t="shared" ca="1" si="12"/>
        <v/>
      </c>
      <c r="D775" s="15" t="str">
        <f>IF(C775="","",VLOOKUP(C775,Tabela1[#All],2,0))</f>
        <v/>
      </c>
      <c r="F775" s="16" t="str" cm="1">
        <f t="array" ref="F775">IF(B775="","",(IF(B775="Compra de estoque","",(_xlfn.IFS(AND(B775="Venda de produtos",H775="Sul/Sudeste"),(VLOOKUP(C775,Tabela1[#All],9,0)*E775),AND(B775="Venda de produtos",H775="Nordeste"),(VLOOKUP(C775,Tabela1[#All],11,0)*E775),AND("Venda de produtos",H775="Norte/Centro-Oeste"),(VLOOKUP(C775,Tabela1[#All],13,0)*E775))))))</f>
        <v/>
      </c>
      <c r="G775" s="16" t="str">
        <f>IF(B775="Compra de estoque",VLOOKUP(C775,Tabela1[#All],4,0)*E775,"")</f>
        <v/>
      </c>
      <c r="H775" s="16"/>
    </row>
    <row r="776" spans="1:8" x14ac:dyDescent="0.25">
      <c r="A776" s="14" t="str">
        <f t="shared" ca="1" si="12"/>
        <v/>
      </c>
      <c r="D776" s="15" t="str">
        <f>IF(C776="","",VLOOKUP(C776,Tabela1[#All],2,0))</f>
        <v/>
      </c>
      <c r="F776" s="16" t="str" cm="1">
        <f t="array" ref="F776">IF(B776="","",(IF(B776="Compra de estoque","",(_xlfn.IFS(AND(B776="Venda de produtos",H776="Sul/Sudeste"),(VLOOKUP(C776,Tabela1[#All],9,0)*E776),AND(B776="Venda de produtos",H776="Nordeste"),(VLOOKUP(C776,Tabela1[#All],11,0)*E776),AND("Venda de produtos",H776="Norte/Centro-Oeste"),(VLOOKUP(C776,Tabela1[#All],13,0)*E776))))))</f>
        <v/>
      </c>
      <c r="G776" s="16" t="str">
        <f>IF(B776="Compra de estoque",VLOOKUP(C776,Tabela1[#All],4,0)*E776,"")</f>
        <v/>
      </c>
      <c r="H776" s="16"/>
    </row>
    <row r="777" spans="1:8" x14ac:dyDescent="0.25">
      <c r="A777" s="14" t="str">
        <f t="shared" ca="1" si="12"/>
        <v/>
      </c>
      <c r="D777" s="15" t="str">
        <f>IF(C777="","",VLOOKUP(C777,Tabela1[#All],2,0))</f>
        <v/>
      </c>
      <c r="F777" s="16" t="str" cm="1">
        <f t="array" ref="F777">IF(B777="","",(IF(B777="Compra de estoque","",(_xlfn.IFS(AND(B777="Venda de produtos",H777="Sul/Sudeste"),(VLOOKUP(C777,Tabela1[#All],9,0)*E777),AND(B777="Venda de produtos",H777="Nordeste"),(VLOOKUP(C777,Tabela1[#All],11,0)*E777),AND("Venda de produtos",H777="Norte/Centro-Oeste"),(VLOOKUP(C777,Tabela1[#All],13,0)*E777))))))</f>
        <v/>
      </c>
      <c r="G777" s="16" t="str">
        <f>IF(B777="Compra de estoque",VLOOKUP(C777,Tabela1[#All],4,0)*E777,"")</f>
        <v/>
      </c>
      <c r="H777" s="16"/>
    </row>
    <row r="778" spans="1:8" x14ac:dyDescent="0.25">
      <c r="A778" s="14" t="str">
        <f t="shared" ca="1" si="12"/>
        <v/>
      </c>
      <c r="D778" s="15" t="str">
        <f>IF(C778="","",VLOOKUP(C778,Tabela1[#All],2,0))</f>
        <v/>
      </c>
      <c r="F778" s="16" t="str" cm="1">
        <f t="array" ref="F778">IF(B778="","",(IF(B778="Compra de estoque","",(_xlfn.IFS(AND(B778="Venda de produtos",H778="Sul/Sudeste"),(VLOOKUP(C778,Tabela1[#All],9,0)*E778),AND(B778="Venda de produtos",H778="Nordeste"),(VLOOKUP(C778,Tabela1[#All],11,0)*E778),AND("Venda de produtos",H778="Norte/Centro-Oeste"),(VLOOKUP(C778,Tabela1[#All],13,0)*E778))))))</f>
        <v/>
      </c>
      <c r="G778" s="16" t="str">
        <f>IF(B778="Compra de estoque",VLOOKUP(C778,Tabela1[#All],4,0)*E778,"")</f>
        <v/>
      </c>
      <c r="H778" s="16"/>
    </row>
    <row r="779" spans="1:8" x14ac:dyDescent="0.25">
      <c r="A779" s="14" t="str">
        <f t="shared" ca="1" si="12"/>
        <v/>
      </c>
      <c r="D779" s="15" t="str">
        <f>IF(C779="","",VLOOKUP(C779,Tabela1[#All],2,0))</f>
        <v/>
      </c>
      <c r="F779" s="16" t="str" cm="1">
        <f t="array" ref="F779">IF(B779="","",(IF(B779="Compra de estoque","",(_xlfn.IFS(AND(B779="Venda de produtos",H779="Sul/Sudeste"),(VLOOKUP(C779,Tabela1[#All],9,0)*E779),AND(B779="Venda de produtos",H779="Nordeste"),(VLOOKUP(C779,Tabela1[#All],11,0)*E779),AND("Venda de produtos",H779="Norte/Centro-Oeste"),(VLOOKUP(C779,Tabela1[#All],13,0)*E779))))))</f>
        <v/>
      </c>
      <c r="G779" s="16" t="str">
        <f>IF(B779="Compra de estoque",VLOOKUP(C779,Tabela1[#All],4,0)*E779,"")</f>
        <v/>
      </c>
      <c r="H779" s="16"/>
    </row>
    <row r="780" spans="1:8" x14ac:dyDescent="0.25">
      <c r="A780" s="14" t="str">
        <f t="shared" ca="1" si="12"/>
        <v/>
      </c>
      <c r="D780" s="15" t="str">
        <f>IF(C780="","",VLOOKUP(C780,Tabela1[#All],2,0))</f>
        <v/>
      </c>
      <c r="F780" s="16" t="str" cm="1">
        <f t="array" ref="F780">IF(B780="","",(IF(B780="Compra de estoque","",(_xlfn.IFS(AND(B780="Venda de produtos",H780="Sul/Sudeste"),(VLOOKUP(C780,Tabela1[#All],9,0)*E780),AND(B780="Venda de produtos",H780="Nordeste"),(VLOOKUP(C780,Tabela1[#All],11,0)*E780),AND("Venda de produtos",H780="Norte/Centro-Oeste"),(VLOOKUP(C780,Tabela1[#All],13,0)*E780))))))</f>
        <v/>
      </c>
      <c r="G780" s="16" t="str">
        <f>IF(B780="Compra de estoque",VLOOKUP(C780,Tabela1[#All],4,0)*E780,"")</f>
        <v/>
      </c>
      <c r="H780" s="16"/>
    </row>
    <row r="781" spans="1:8" x14ac:dyDescent="0.25">
      <c r="A781" s="14" t="str">
        <f t="shared" ca="1" si="12"/>
        <v/>
      </c>
      <c r="D781" s="15" t="str">
        <f>IF(C781="","",VLOOKUP(C781,Tabela1[#All],2,0))</f>
        <v/>
      </c>
      <c r="F781" s="16" t="str" cm="1">
        <f t="array" ref="F781">IF(B781="","",(IF(B781="Compra de estoque","",(_xlfn.IFS(AND(B781="Venda de produtos",H781="Sul/Sudeste"),(VLOOKUP(C781,Tabela1[#All],9,0)*E781),AND(B781="Venda de produtos",H781="Nordeste"),(VLOOKUP(C781,Tabela1[#All],11,0)*E781),AND("Venda de produtos",H781="Norte/Centro-Oeste"),(VLOOKUP(C781,Tabela1[#All],13,0)*E781))))))</f>
        <v/>
      </c>
      <c r="G781" s="16" t="str">
        <f>IF(B781="Compra de estoque",VLOOKUP(C781,Tabela1[#All],4,0)*E781,"")</f>
        <v/>
      </c>
      <c r="H781" s="16"/>
    </row>
    <row r="782" spans="1:8" x14ac:dyDescent="0.25">
      <c r="A782" s="14" t="str">
        <f t="shared" ca="1" si="12"/>
        <v/>
      </c>
      <c r="D782" s="15" t="str">
        <f>IF(C782="","",VLOOKUP(C782,Tabela1[#All],2,0))</f>
        <v/>
      </c>
      <c r="F782" s="16" t="str" cm="1">
        <f t="array" ref="F782">IF(B782="","",(IF(B782="Compra de estoque","",(_xlfn.IFS(AND(B782="Venda de produtos",H782="Sul/Sudeste"),(VLOOKUP(C782,Tabela1[#All],9,0)*E782),AND(B782="Venda de produtos",H782="Nordeste"),(VLOOKUP(C782,Tabela1[#All],11,0)*E782),AND("Venda de produtos",H782="Norte/Centro-Oeste"),(VLOOKUP(C782,Tabela1[#All],13,0)*E782))))))</f>
        <v/>
      </c>
      <c r="G782" s="16" t="str">
        <f>IF(B782="Compra de estoque",VLOOKUP(C782,Tabela1[#All],4,0)*E782,"")</f>
        <v/>
      </c>
      <c r="H782" s="16"/>
    </row>
    <row r="783" spans="1:8" x14ac:dyDescent="0.25">
      <c r="A783" s="14" t="str">
        <f t="shared" ca="1" si="12"/>
        <v/>
      </c>
      <c r="D783" s="15" t="str">
        <f>IF(C783="","",VLOOKUP(C783,Tabela1[#All],2,0))</f>
        <v/>
      </c>
      <c r="F783" s="16" t="str" cm="1">
        <f t="array" ref="F783">IF(B783="","",(IF(B783="Compra de estoque","",(_xlfn.IFS(AND(B783="Venda de produtos",H783="Sul/Sudeste"),(VLOOKUP(C783,Tabela1[#All],9,0)*E783),AND(B783="Venda de produtos",H783="Nordeste"),(VLOOKUP(C783,Tabela1[#All],11,0)*E783),AND("Venda de produtos",H783="Norte/Centro-Oeste"),(VLOOKUP(C783,Tabela1[#All],13,0)*E783))))))</f>
        <v/>
      </c>
      <c r="G783" s="16" t="str">
        <f>IF(B783="Compra de estoque",VLOOKUP(C783,Tabela1[#All],4,0)*E783,"")</f>
        <v/>
      </c>
      <c r="H783" s="16"/>
    </row>
    <row r="784" spans="1:8" x14ac:dyDescent="0.25">
      <c r="A784" s="14" t="str">
        <f t="shared" ca="1" si="12"/>
        <v/>
      </c>
      <c r="D784" s="15" t="str">
        <f>IF(C784="","",VLOOKUP(C784,Tabela1[#All],2,0))</f>
        <v/>
      </c>
      <c r="F784" s="16" t="str" cm="1">
        <f t="array" ref="F784">IF(B784="","",(IF(B784="Compra de estoque","",(_xlfn.IFS(AND(B784="Venda de produtos",H784="Sul/Sudeste"),(VLOOKUP(C784,Tabela1[#All],9,0)*E784),AND(B784="Venda de produtos",H784="Nordeste"),(VLOOKUP(C784,Tabela1[#All],11,0)*E784),AND("Venda de produtos",H784="Norte/Centro-Oeste"),(VLOOKUP(C784,Tabela1[#All],13,0)*E784))))))</f>
        <v/>
      </c>
      <c r="G784" s="16" t="str">
        <f>IF(B784="Compra de estoque",VLOOKUP(C784,Tabela1[#All],4,0)*E784,"")</f>
        <v/>
      </c>
      <c r="H784" s="16"/>
    </row>
    <row r="785" spans="1:8" x14ac:dyDescent="0.25">
      <c r="A785" s="14" t="str">
        <f t="shared" ca="1" si="12"/>
        <v/>
      </c>
      <c r="D785" s="15" t="str">
        <f>IF(C785="","",VLOOKUP(C785,Tabela1[#All],2,0))</f>
        <v/>
      </c>
      <c r="F785" s="16" t="str" cm="1">
        <f t="array" ref="F785">IF(B785="","",(IF(B785="Compra de estoque","",(_xlfn.IFS(AND(B785="Venda de produtos",H785="Sul/Sudeste"),(VLOOKUP(C785,Tabela1[#All],9,0)*E785),AND(B785="Venda de produtos",H785="Nordeste"),(VLOOKUP(C785,Tabela1[#All],11,0)*E785),AND("Venda de produtos",H785="Norte/Centro-Oeste"),(VLOOKUP(C785,Tabela1[#All],13,0)*E785))))))</f>
        <v/>
      </c>
      <c r="G785" s="16" t="str">
        <f>IF(B785="Compra de estoque",VLOOKUP(C785,Tabela1[#All],4,0)*E785,"")</f>
        <v/>
      </c>
      <c r="H785" s="16"/>
    </row>
    <row r="786" spans="1:8" x14ac:dyDescent="0.25">
      <c r="A786" s="14" t="str">
        <f t="shared" ca="1" si="12"/>
        <v/>
      </c>
      <c r="D786" s="15" t="str">
        <f>IF(C786="","",VLOOKUP(C786,Tabela1[#All],2,0))</f>
        <v/>
      </c>
      <c r="F786" s="16" t="str" cm="1">
        <f t="array" ref="F786">IF(B786="","",(IF(B786="Compra de estoque","",(_xlfn.IFS(AND(B786="Venda de produtos",H786="Sul/Sudeste"),(VLOOKUP(C786,Tabela1[#All],9,0)*E786),AND(B786="Venda de produtos",H786="Nordeste"),(VLOOKUP(C786,Tabela1[#All],11,0)*E786),AND("Venda de produtos",H786="Norte/Centro-Oeste"),(VLOOKUP(C786,Tabela1[#All],13,0)*E786))))))</f>
        <v/>
      </c>
      <c r="G786" s="16" t="str">
        <f>IF(B786="Compra de estoque",VLOOKUP(C786,Tabela1[#All],4,0)*E786,"")</f>
        <v/>
      </c>
      <c r="H786" s="16"/>
    </row>
    <row r="787" spans="1:8" x14ac:dyDescent="0.25">
      <c r="A787" s="14" t="str">
        <f t="shared" ca="1" si="12"/>
        <v/>
      </c>
      <c r="D787" s="15" t="str">
        <f>IF(C787="","",VLOOKUP(C787,Tabela1[#All],2,0))</f>
        <v/>
      </c>
      <c r="F787" s="16" t="str" cm="1">
        <f t="array" ref="F787">IF(B787="","",(IF(B787="Compra de estoque","",(_xlfn.IFS(AND(B787="Venda de produtos",H787="Sul/Sudeste"),(VLOOKUP(C787,Tabela1[#All],9,0)*E787),AND(B787="Venda de produtos",H787="Nordeste"),(VLOOKUP(C787,Tabela1[#All],11,0)*E787),AND("Venda de produtos",H787="Norte/Centro-Oeste"),(VLOOKUP(C787,Tabela1[#All],13,0)*E787))))))</f>
        <v/>
      </c>
      <c r="G787" s="16" t="str">
        <f>IF(B787="Compra de estoque",VLOOKUP(C787,Tabela1[#All],4,0)*E787,"")</f>
        <v/>
      </c>
      <c r="H787" s="16"/>
    </row>
    <row r="788" spans="1:8" x14ac:dyDescent="0.25">
      <c r="A788" s="14" t="str">
        <f t="shared" ca="1" si="12"/>
        <v/>
      </c>
      <c r="D788" s="15" t="str">
        <f>IF(C788="","",VLOOKUP(C788,Tabela1[#All],2,0))</f>
        <v/>
      </c>
      <c r="F788" s="16" t="str" cm="1">
        <f t="array" ref="F788">IF(B788="","",(IF(B788="Compra de estoque","",(_xlfn.IFS(AND(B788="Venda de produtos",H788="Sul/Sudeste"),(VLOOKUP(C788,Tabela1[#All],9,0)*E788),AND(B788="Venda de produtos",H788="Nordeste"),(VLOOKUP(C788,Tabela1[#All],11,0)*E788),AND("Venda de produtos",H788="Norte/Centro-Oeste"),(VLOOKUP(C788,Tabela1[#All],13,0)*E788))))))</f>
        <v/>
      </c>
      <c r="G788" s="16" t="str">
        <f>IF(B788="Compra de estoque",VLOOKUP(C788,Tabela1[#All],4,0)*E788,"")</f>
        <v/>
      </c>
      <c r="H788" s="16"/>
    </row>
    <row r="789" spans="1:8" x14ac:dyDescent="0.25">
      <c r="A789" s="14" t="str">
        <f t="shared" ca="1" si="12"/>
        <v/>
      </c>
      <c r="D789" s="15" t="str">
        <f>IF(C789="","",VLOOKUP(C789,Tabela1[#All],2,0))</f>
        <v/>
      </c>
      <c r="F789" s="16" t="str" cm="1">
        <f t="array" ref="F789">IF(B789="","",(IF(B789="Compra de estoque","",(_xlfn.IFS(AND(B789="Venda de produtos",H789="Sul/Sudeste"),(VLOOKUP(C789,Tabela1[#All],9,0)*E789),AND(B789="Venda de produtos",H789="Nordeste"),(VLOOKUP(C789,Tabela1[#All],11,0)*E789),AND("Venda de produtos",H789="Norte/Centro-Oeste"),(VLOOKUP(C789,Tabela1[#All],13,0)*E789))))))</f>
        <v/>
      </c>
      <c r="G789" s="16" t="str">
        <f>IF(B789="Compra de estoque",VLOOKUP(C789,Tabela1[#All],4,0)*E789,"")</f>
        <v/>
      </c>
      <c r="H789" s="16"/>
    </row>
    <row r="790" spans="1:8" x14ac:dyDescent="0.25">
      <c r="A790" s="14" t="str">
        <f t="shared" ca="1" si="12"/>
        <v/>
      </c>
      <c r="D790" s="15" t="str">
        <f>IF(C790="","",VLOOKUP(C790,Tabela1[#All],2,0))</f>
        <v/>
      </c>
      <c r="F790" s="16" t="str" cm="1">
        <f t="array" ref="F790">IF(B790="","",(IF(B790="Compra de estoque","",(_xlfn.IFS(AND(B790="Venda de produtos",H790="Sul/Sudeste"),(VLOOKUP(C790,Tabela1[#All],9,0)*E790),AND(B790="Venda de produtos",H790="Nordeste"),(VLOOKUP(C790,Tabela1[#All],11,0)*E790),AND("Venda de produtos",H790="Norte/Centro-Oeste"),(VLOOKUP(C790,Tabela1[#All],13,0)*E790))))))</f>
        <v/>
      </c>
      <c r="G790" s="16" t="str">
        <f>IF(B790="Compra de estoque",VLOOKUP(C790,Tabela1[#All],4,0)*E790,"")</f>
        <v/>
      </c>
      <c r="H790" s="16"/>
    </row>
    <row r="791" spans="1:8" x14ac:dyDescent="0.25">
      <c r="A791" s="14" t="str">
        <f t="shared" ca="1" si="12"/>
        <v/>
      </c>
      <c r="D791" s="15" t="str">
        <f>IF(C791="","",VLOOKUP(C791,Tabela1[#All],2,0))</f>
        <v/>
      </c>
      <c r="F791" s="16" t="str" cm="1">
        <f t="array" ref="F791">IF(B791="","",(IF(B791="Compra de estoque","",(_xlfn.IFS(AND(B791="Venda de produtos",H791="Sul/Sudeste"),(VLOOKUP(C791,Tabela1[#All],9,0)*E791),AND(B791="Venda de produtos",H791="Nordeste"),(VLOOKUP(C791,Tabela1[#All],11,0)*E791),AND("Venda de produtos",H791="Norte/Centro-Oeste"),(VLOOKUP(C791,Tabela1[#All],13,0)*E791))))))</f>
        <v/>
      </c>
      <c r="G791" s="16" t="str">
        <f>IF(B791="Compra de estoque",VLOOKUP(C791,Tabela1[#All],4,0)*E791,"")</f>
        <v/>
      </c>
      <c r="H791" s="16"/>
    </row>
    <row r="792" spans="1:8" x14ac:dyDescent="0.25">
      <c r="A792" s="14" t="str">
        <f t="shared" ca="1" si="12"/>
        <v/>
      </c>
      <c r="D792" s="15" t="str">
        <f>IF(C792="","",VLOOKUP(C792,Tabela1[#All],2,0))</f>
        <v/>
      </c>
      <c r="F792" s="16" t="str" cm="1">
        <f t="array" ref="F792">IF(B792="","",(IF(B792="Compra de estoque","",(_xlfn.IFS(AND(B792="Venda de produtos",H792="Sul/Sudeste"),(VLOOKUP(C792,Tabela1[#All],9,0)*E792),AND(B792="Venda de produtos",H792="Nordeste"),(VLOOKUP(C792,Tabela1[#All],11,0)*E792),AND("Venda de produtos",H792="Norte/Centro-Oeste"),(VLOOKUP(C792,Tabela1[#All],13,0)*E792))))))</f>
        <v/>
      </c>
      <c r="G792" s="16" t="str">
        <f>IF(B792="Compra de estoque",VLOOKUP(C792,Tabela1[#All],4,0)*E792,"")</f>
        <v/>
      </c>
      <c r="H792" s="16"/>
    </row>
    <row r="793" spans="1:8" x14ac:dyDescent="0.25">
      <c r="A793" s="14" t="str">
        <f t="shared" ca="1" si="12"/>
        <v/>
      </c>
      <c r="D793" s="15" t="str">
        <f>IF(C793="","",VLOOKUP(C793,Tabela1[#All],2,0))</f>
        <v/>
      </c>
      <c r="F793" s="16" t="str" cm="1">
        <f t="array" ref="F793">IF(B793="","",(IF(B793="Compra de estoque","",(_xlfn.IFS(AND(B793="Venda de produtos",H793="Sul/Sudeste"),(VLOOKUP(C793,Tabela1[#All],9,0)*E793),AND(B793="Venda de produtos",H793="Nordeste"),(VLOOKUP(C793,Tabela1[#All],11,0)*E793),AND("Venda de produtos",H793="Norte/Centro-Oeste"),(VLOOKUP(C793,Tabela1[#All],13,0)*E793))))))</f>
        <v/>
      </c>
      <c r="G793" s="16" t="str">
        <f>IF(B793="Compra de estoque",VLOOKUP(C793,Tabela1[#All],4,0)*E793,"")</f>
        <v/>
      </c>
      <c r="H793" s="16"/>
    </row>
    <row r="794" spans="1:8" x14ac:dyDescent="0.25">
      <c r="A794" s="14" t="str">
        <f t="shared" ca="1" si="12"/>
        <v/>
      </c>
      <c r="D794" s="15" t="str">
        <f>IF(C794="","",VLOOKUP(C794,Tabela1[#All],2,0))</f>
        <v/>
      </c>
      <c r="F794" s="16" t="str" cm="1">
        <f t="array" ref="F794">IF(B794="","",(IF(B794="Compra de estoque","",(_xlfn.IFS(AND(B794="Venda de produtos",H794="Sul/Sudeste"),(VLOOKUP(C794,Tabela1[#All],9,0)*E794),AND(B794="Venda de produtos",H794="Nordeste"),(VLOOKUP(C794,Tabela1[#All],11,0)*E794),AND("Venda de produtos",H794="Norte/Centro-Oeste"),(VLOOKUP(C794,Tabela1[#All],13,0)*E794))))))</f>
        <v/>
      </c>
      <c r="G794" s="16" t="str">
        <f>IF(B794="Compra de estoque",VLOOKUP(C794,Tabela1[#All],4,0)*E794,"")</f>
        <v/>
      </c>
      <c r="H794" s="16"/>
    </row>
    <row r="795" spans="1:8" x14ac:dyDescent="0.25">
      <c r="A795" s="14" t="str">
        <f t="shared" ca="1" si="12"/>
        <v/>
      </c>
      <c r="D795" s="15" t="str">
        <f>IF(C795="","",VLOOKUP(C795,Tabela1[#All],2,0))</f>
        <v/>
      </c>
      <c r="F795" s="16" t="str" cm="1">
        <f t="array" ref="F795">IF(B795="","",(IF(B795="Compra de estoque","",(_xlfn.IFS(AND(B795="Venda de produtos",H795="Sul/Sudeste"),(VLOOKUP(C795,Tabela1[#All],9,0)*E795),AND(B795="Venda de produtos",H795="Nordeste"),(VLOOKUP(C795,Tabela1[#All],11,0)*E795),AND("Venda de produtos",H795="Norte/Centro-Oeste"),(VLOOKUP(C795,Tabela1[#All],13,0)*E795))))))</f>
        <v/>
      </c>
      <c r="G795" s="16" t="str">
        <f>IF(B795="Compra de estoque",VLOOKUP(C795,Tabela1[#All],4,0)*E795,"")</f>
        <v/>
      </c>
      <c r="H795" s="16"/>
    </row>
    <row r="796" spans="1:8" x14ac:dyDescent="0.25">
      <c r="A796" s="14" t="str">
        <f t="shared" ca="1" si="12"/>
        <v/>
      </c>
      <c r="D796" s="15" t="str">
        <f>IF(C796="","",VLOOKUP(C796,Tabela1[#All],2,0))</f>
        <v/>
      </c>
      <c r="F796" s="16" t="str" cm="1">
        <f t="array" ref="F796">IF(B796="","",(IF(B796="Compra de estoque","",(_xlfn.IFS(AND(B796="Venda de produtos",H796="Sul/Sudeste"),(VLOOKUP(C796,Tabela1[#All],9,0)*E796),AND(B796="Venda de produtos",H796="Nordeste"),(VLOOKUP(C796,Tabela1[#All],11,0)*E796),AND("Venda de produtos",H796="Norte/Centro-Oeste"),(VLOOKUP(C796,Tabela1[#All],13,0)*E796))))))</f>
        <v/>
      </c>
      <c r="G796" s="16" t="str">
        <f>IF(B796="Compra de estoque",VLOOKUP(C796,Tabela1[#All],4,0)*E796,"")</f>
        <v/>
      </c>
      <c r="H796" s="16"/>
    </row>
    <row r="797" spans="1:8" x14ac:dyDescent="0.25">
      <c r="A797" s="14" t="str">
        <f t="shared" ca="1" si="12"/>
        <v/>
      </c>
      <c r="D797" s="15" t="str">
        <f>IF(C797="","",VLOOKUP(C797,Tabela1[#All],2,0))</f>
        <v/>
      </c>
      <c r="F797" s="16" t="str" cm="1">
        <f t="array" ref="F797">IF(B797="","",(IF(B797="Compra de estoque","",(_xlfn.IFS(AND(B797="Venda de produtos",H797="Sul/Sudeste"),(VLOOKUP(C797,Tabela1[#All],9,0)*E797),AND(B797="Venda de produtos",H797="Nordeste"),(VLOOKUP(C797,Tabela1[#All],11,0)*E797),AND("Venda de produtos",H797="Norte/Centro-Oeste"),(VLOOKUP(C797,Tabela1[#All],13,0)*E797))))))</f>
        <v/>
      </c>
      <c r="G797" s="16" t="str">
        <f>IF(B797="Compra de estoque",VLOOKUP(C797,Tabela1[#All],4,0)*E797,"")</f>
        <v/>
      </c>
      <c r="H797" s="16"/>
    </row>
    <row r="798" spans="1:8" x14ac:dyDescent="0.25">
      <c r="A798" s="14" t="str">
        <f t="shared" ca="1" si="12"/>
        <v/>
      </c>
      <c r="D798" s="15" t="str">
        <f>IF(C798="","",VLOOKUP(C798,Tabela1[#All],2,0))</f>
        <v/>
      </c>
      <c r="F798" s="16" t="str" cm="1">
        <f t="array" ref="F798">IF(B798="","",(IF(B798="Compra de estoque","",(_xlfn.IFS(AND(B798="Venda de produtos",H798="Sul/Sudeste"),(VLOOKUP(C798,Tabela1[#All],9,0)*E798),AND(B798="Venda de produtos",H798="Nordeste"),(VLOOKUP(C798,Tabela1[#All],11,0)*E798),AND("Venda de produtos",H798="Norte/Centro-Oeste"),(VLOOKUP(C798,Tabela1[#All],13,0)*E798))))))</f>
        <v/>
      </c>
      <c r="G798" s="16" t="str">
        <f>IF(B798="Compra de estoque",VLOOKUP(C798,Tabela1[#All],4,0)*E798,"")</f>
        <v/>
      </c>
      <c r="H798" s="16"/>
    </row>
    <row r="799" spans="1:8" x14ac:dyDescent="0.25">
      <c r="A799" s="14" t="str">
        <f t="shared" ca="1" si="12"/>
        <v/>
      </c>
      <c r="D799" s="15" t="str">
        <f>IF(C799="","",VLOOKUP(C799,Tabela1[#All],2,0))</f>
        <v/>
      </c>
      <c r="F799" s="16" t="str" cm="1">
        <f t="array" ref="F799">IF(B799="","",(IF(B799="Compra de estoque","",(_xlfn.IFS(AND(B799="Venda de produtos",H799="Sul/Sudeste"),(VLOOKUP(C799,Tabela1[#All],9,0)*E799),AND(B799="Venda de produtos",H799="Nordeste"),(VLOOKUP(C799,Tabela1[#All],11,0)*E799),AND("Venda de produtos",H799="Norte/Centro-Oeste"),(VLOOKUP(C799,Tabela1[#All],13,0)*E799))))))</f>
        <v/>
      </c>
      <c r="G799" s="16" t="str">
        <f>IF(B799="Compra de estoque",VLOOKUP(C799,Tabela1[#All],4,0)*E799,"")</f>
        <v/>
      </c>
      <c r="H799" s="16"/>
    </row>
    <row r="800" spans="1:8" x14ac:dyDescent="0.25">
      <c r="A800" s="14" t="str">
        <f t="shared" ca="1" si="12"/>
        <v/>
      </c>
      <c r="D800" s="15" t="str">
        <f>IF(C800="","",VLOOKUP(C800,Tabela1[#All],2,0))</f>
        <v/>
      </c>
      <c r="F800" s="16" t="str" cm="1">
        <f t="array" ref="F800">IF(B800="","",(IF(B800="Compra de estoque","",(_xlfn.IFS(AND(B800="Venda de produtos",H800="Sul/Sudeste"),(VLOOKUP(C800,Tabela1[#All],9,0)*E800),AND(B800="Venda de produtos",H800="Nordeste"),(VLOOKUP(C800,Tabela1[#All],11,0)*E800),AND("Venda de produtos",H800="Norte/Centro-Oeste"),(VLOOKUP(C800,Tabela1[#All],13,0)*E800))))))</f>
        <v/>
      </c>
      <c r="G800" s="16" t="str">
        <f>IF(B800="Compra de estoque",VLOOKUP(C800,Tabela1[#All],4,0)*E800,"")</f>
        <v/>
      </c>
      <c r="H800" s="16"/>
    </row>
    <row r="801" spans="1:8" x14ac:dyDescent="0.25">
      <c r="A801" s="14" t="str">
        <f t="shared" ca="1" si="12"/>
        <v/>
      </c>
      <c r="D801" s="15" t="str">
        <f>IF(C801="","",VLOOKUP(C801,Tabela1[#All],2,0))</f>
        <v/>
      </c>
      <c r="F801" s="16" t="str" cm="1">
        <f t="array" ref="F801">IF(B801="","",(IF(B801="Compra de estoque","",(_xlfn.IFS(AND(B801="Venda de produtos",H801="Sul/Sudeste"),(VLOOKUP(C801,Tabela1[#All],9,0)*E801),AND(B801="Venda de produtos",H801="Nordeste"),(VLOOKUP(C801,Tabela1[#All],11,0)*E801),AND("Venda de produtos",H801="Norte/Centro-Oeste"),(VLOOKUP(C801,Tabela1[#All],13,0)*E801))))))</f>
        <v/>
      </c>
      <c r="G801" s="16" t="str">
        <f>IF(B801="Compra de estoque",VLOOKUP(C801,Tabela1[#All],4,0)*E801,"")</f>
        <v/>
      </c>
      <c r="H801" s="16"/>
    </row>
    <row r="802" spans="1:8" x14ac:dyDescent="0.25">
      <c r="A802" s="14" t="str">
        <f t="shared" ca="1" si="12"/>
        <v/>
      </c>
      <c r="D802" s="15" t="str">
        <f>IF(C802="","",VLOOKUP(C802,Tabela1[#All],2,0))</f>
        <v/>
      </c>
      <c r="F802" s="16" t="str" cm="1">
        <f t="array" ref="F802">IF(B802="","",(IF(B802="Compra de estoque","",(_xlfn.IFS(AND(B802="Venda de produtos",H802="Sul/Sudeste"),(VLOOKUP(C802,Tabela1[#All],9,0)*E802),AND(B802="Venda de produtos",H802="Nordeste"),(VLOOKUP(C802,Tabela1[#All],11,0)*E802),AND("Venda de produtos",H802="Norte/Centro-Oeste"),(VLOOKUP(C802,Tabela1[#All],13,0)*E802))))))</f>
        <v/>
      </c>
      <c r="G802" s="16" t="str">
        <f>IF(B802="Compra de estoque",VLOOKUP(C802,Tabela1[#All],4,0)*E802,"")</f>
        <v/>
      </c>
      <c r="H802" s="16"/>
    </row>
    <row r="803" spans="1:8" x14ac:dyDescent="0.25">
      <c r="A803" s="14" t="str">
        <f t="shared" ca="1" si="12"/>
        <v/>
      </c>
      <c r="D803" s="15" t="str">
        <f>IF(C803="","",VLOOKUP(C803,Tabela1[#All],2,0))</f>
        <v/>
      </c>
      <c r="F803" s="16" t="str" cm="1">
        <f t="array" ref="F803">IF(B803="","",(IF(B803="Compra de estoque","",(_xlfn.IFS(AND(B803="Venda de produtos",H803="Sul/Sudeste"),(VLOOKUP(C803,Tabela1[#All],9,0)*E803),AND(B803="Venda de produtos",H803="Nordeste"),(VLOOKUP(C803,Tabela1[#All],11,0)*E803),AND("Venda de produtos",H803="Norte/Centro-Oeste"),(VLOOKUP(C803,Tabela1[#All],13,0)*E803))))))</f>
        <v/>
      </c>
      <c r="G803" s="16" t="str">
        <f>IF(B803="Compra de estoque",VLOOKUP(C803,Tabela1[#All],4,0)*E803,"")</f>
        <v/>
      </c>
      <c r="H803" s="16"/>
    </row>
    <row r="804" spans="1:8" x14ac:dyDescent="0.25">
      <c r="A804" s="14" t="str">
        <f t="shared" ca="1" si="12"/>
        <v/>
      </c>
      <c r="D804" s="15" t="str">
        <f>IF(C804="","",VLOOKUP(C804,Tabela1[#All],2,0))</f>
        <v/>
      </c>
      <c r="F804" s="16" t="str" cm="1">
        <f t="array" ref="F804">IF(B804="","",(IF(B804="Compra de estoque","",(_xlfn.IFS(AND(B804="Venda de produtos",H804="Sul/Sudeste"),(VLOOKUP(C804,Tabela1[#All],9,0)*E804),AND(B804="Venda de produtos",H804="Nordeste"),(VLOOKUP(C804,Tabela1[#All],11,0)*E804),AND("Venda de produtos",H804="Norte/Centro-Oeste"),(VLOOKUP(C804,Tabela1[#All],13,0)*E804))))))</f>
        <v/>
      </c>
      <c r="G804" s="16" t="str">
        <f>IF(B804="Compra de estoque",VLOOKUP(C804,Tabela1[#All],4,0)*E804,"")</f>
        <v/>
      </c>
      <c r="H804" s="16"/>
    </row>
    <row r="805" spans="1:8" x14ac:dyDescent="0.25">
      <c r="A805" s="14" t="str">
        <f t="shared" ca="1" si="12"/>
        <v/>
      </c>
      <c r="D805" s="15" t="str">
        <f>IF(C805="","",VLOOKUP(C805,Tabela1[#All],2,0))</f>
        <v/>
      </c>
      <c r="F805" s="16" t="str" cm="1">
        <f t="array" ref="F805">IF(B805="","",(IF(B805="Compra de estoque","",(_xlfn.IFS(AND(B805="Venda de produtos",H805="Sul/Sudeste"),(VLOOKUP(C805,Tabela1[#All],9,0)*E805),AND(B805="Venda de produtos",H805="Nordeste"),(VLOOKUP(C805,Tabela1[#All],11,0)*E805),AND("Venda de produtos",H805="Norte/Centro-Oeste"),(VLOOKUP(C805,Tabela1[#All],13,0)*E805))))))</f>
        <v/>
      </c>
      <c r="G805" s="16" t="str">
        <f>IF(B805="Compra de estoque",VLOOKUP(C805,Tabela1[#All],4,0)*E805,"")</f>
        <v/>
      </c>
      <c r="H805" s="16"/>
    </row>
    <row r="806" spans="1:8" x14ac:dyDescent="0.25">
      <c r="A806" s="14" t="str">
        <f t="shared" ca="1" si="12"/>
        <v/>
      </c>
      <c r="D806" s="15" t="str">
        <f>IF(C806="","",VLOOKUP(C806,Tabela1[#All],2,0))</f>
        <v/>
      </c>
      <c r="F806" s="16" t="str" cm="1">
        <f t="array" ref="F806">IF(B806="","",(IF(B806="Compra de estoque","",(_xlfn.IFS(AND(B806="Venda de produtos",H806="Sul/Sudeste"),(VLOOKUP(C806,Tabela1[#All],9,0)*E806),AND(B806="Venda de produtos",H806="Nordeste"),(VLOOKUP(C806,Tabela1[#All],11,0)*E806),AND("Venda de produtos",H806="Norte/Centro-Oeste"),(VLOOKUP(C806,Tabela1[#All],13,0)*E806))))))</f>
        <v/>
      </c>
      <c r="G806" s="16" t="str">
        <f>IF(B806="Compra de estoque",VLOOKUP(C806,Tabela1[#All],4,0)*E806,"")</f>
        <v/>
      </c>
      <c r="H806" s="16"/>
    </row>
    <row r="807" spans="1:8" x14ac:dyDescent="0.25">
      <c r="A807" s="14" t="str">
        <f t="shared" ca="1" si="12"/>
        <v/>
      </c>
      <c r="D807" s="15" t="str">
        <f>IF(C807="","",VLOOKUP(C807,Tabela1[#All],2,0))</f>
        <v/>
      </c>
      <c r="F807" s="16" t="str" cm="1">
        <f t="array" ref="F807">IF(B807="","",(IF(B807="Compra de estoque","",(_xlfn.IFS(AND(B807="Venda de produtos",H807="Sul/Sudeste"),(VLOOKUP(C807,Tabela1[#All],9,0)*E807),AND(B807="Venda de produtos",H807="Nordeste"),(VLOOKUP(C807,Tabela1[#All],11,0)*E807),AND("Venda de produtos",H807="Norte/Centro-Oeste"),(VLOOKUP(C807,Tabela1[#All],13,0)*E807))))))</f>
        <v/>
      </c>
      <c r="G807" s="16" t="str">
        <f>IF(B807="Compra de estoque",VLOOKUP(C807,Tabela1[#All],4,0)*E807,"")</f>
        <v/>
      </c>
      <c r="H807" s="16"/>
    </row>
    <row r="808" spans="1:8" x14ac:dyDescent="0.25">
      <c r="A808" s="14" t="str">
        <f t="shared" ca="1" si="12"/>
        <v/>
      </c>
      <c r="D808" s="15" t="str">
        <f>IF(C808="","",VLOOKUP(C808,Tabela1[#All],2,0))</f>
        <v/>
      </c>
      <c r="F808" s="16" t="str" cm="1">
        <f t="array" ref="F808">IF(B808="","",(IF(B808="Compra de estoque","",(_xlfn.IFS(AND(B808="Venda de produtos",H808="Sul/Sudeste"),(VLOOKUP(C808,Tabela1[#All],9,0)*E808),AND(B808="Venda de produtos",H808="Nordeste"),(VLOOKUP(C808,Tabela1[#All],11,0)*E808),AND("Venda de produtos",H808="Norte/Centro-Oeste"),(VLOOKUP(C808,Tabela1[#All],13,0)*E808))))))</f>
        <v/>
      </c>
      <c r="G808" s="16" t="str">
        <f>IF(B808="Compra de estoque",VLOOKUP(C808,Tabela1[#All],4,0)*E808,"")</f>
        <v/>
      </c>
      <c r="H808" s="16"/>
    </row>
    <row r="809" spans="1:8" x14ac:dyDescent="0.25">
      <c r="A809" s="14" t="str">
        <f t="shared" ca="1" si="12"/>
        <v/>
      </c>
      <c r="D809" s="15" t="str">
        <f>IF(C809="","",VLOOKUP(C809,Tabela1[#All],2,0))</f>
        <v/>
      </c>
      <c r="F809" s="16" t="str" cm="1">
        <f t="array" ref="F809">IF(B809="","",(IF(B809="Compra de estoque","",(_xlfn.IFS(AND(B809="Venda de produtos",H809="Sul/Sudeste"),(VLOOKUP(C809,Tabela1[#All],9,0)*E809),AND(B809="Venda de produtos",H809="Nordeste"),(VLOOKUP(C809,Tabela1[#All],11,0)*E809),AND("Venda de produtos",H809="Norte/Centro-Oeste"),(VLOOKUP(C809,Tabela1[#All],13,0)*E809))))))</f>
        <v/>
      </c>
      <c r="G809" s="16" t="str">
        <f>IF(B809="Compra de estoque",VLOOKUP(C809,Tabela1[#All],4,0)*E809,"")</f>
        <v/>
      </c>
      <c r="H809" s="16"/>
    </row>
    <row r="810" spans="1:8" x14ac:dyDescent="0.25">
      <c r="A810" s="14" t="str">
        <f t="shared" ca="1" si="12"/>
        <v/>
      </c>
      <c r="D810" s="15" t="str">
        <f>IF(C810="","",VLOOKUP(C810,Tabela1[#All],2,0))</f>
        <v/>
      </c>
      <c r="F810" s="16" t="str" cm="1">
        <f t="array" ref="F810">IF(B810="","",(IF(B810="Compra de estoque","",(_xlfn.IFS(AND(B810="Venda de produtos",H810="Sul/Sudeste"),(VLOOKUP(C810,Tabela1[#All],9,0)*E810),AND(B810="Venda de produtos",H810="Nordeste"),(VLOOKUP(C810,Tabela1[#All],11,0)*E810),AND("Venda de produtos",H810="Norte/Centro-Oeste"),(VLOOKUP(C810,Tabela1[#All],13,0)*E810))))))</f>
        <v/>
      </c>
      <c r="G810" s="16" t="str">
        <f>IF(B810="Compra de estoque",VLOOKUP(C810,Tabela1[#All],4,0)*E810,"")</f>
        <v/>
      </c>
      <c r="H810" s="16"/>
    </row>
    <row r="811" spans="1:8" x14ac:dyDescent="0.25">
      <c r="A811" s="14" t="str">
        <f t="shared" ca="1" si="12"/>
        <v/>
      </c>
      <c r="D811" s="15" t="str">
        <f>IF(C811="","",VLOOKUP(C811,Tabela1[#All],2,0))</f>
        <v/>
      </c>
      <c r="F811" s="16" t="str" cm="1">
        <f t="array" ref="F811">IF(B811="","",(IF(B811="Compra de estoque","",(_xlfn.IFS(AND(B811="Venda de produtos",H811="Sul/Sudeste"),(VLOOKUP(C811,Tabela1[#All],9,0)*E811),AND(B811="Venda de produtos",H811="Nordeste"),(VLOOKUP(C811,Tabela1[#All],11,0)*E811),AND("Venda de produtos",H811="Norte/Centro-Oeste"),(VLOOKUP(C811,Tabela1[#All],13,0)*E811))))))</f>
        <v/>
      </c>
      <c r="G811" s="16" t="str">
        <f>IF(B811="Compra de estoque",VLOOKUP(C811,Tabela1[#All],4,0)*E811,"")</f>
        <v/>
      </c>
      <c r="H811" s="16"/>
    </row>
    <row r="812" spans="1:8" x14ac:dyDescent="0.25">
      <c r="A812" s="14" t="str">
        <f t="shared" ca="1" si="12"/>
        <v/>
      </c>
      <c r="D812" s="15" t="str">
        <f>IF(C812="","",VLOOKUP(C812,Tabela1[#All],2,0))</f>
        <v/>
      </c>
      <c r="F812" s="16" t="str" cm="1">
        <f t="array" ref="F812">IF(B812="","",(IF(B812="Compra de estoque","",(_xlfn.IFS(AND(B812="Venda de produtos",H812="Sul/Sudeste"),(VLOOKUP(C812,Tabela1[#All],9,0)*E812),AND(B812="Venda de produtos",H812="Nordeste"),(VLOOKUP(C812,Tabela1[#All],11,0)*E812),AND("Venda de produtos",H812="Norte/Centro-Oeste"),(VLOOKUP(C812,Tabela1[#All],13,0)*E812))))))</f>
        <v/>
      </c>
      <c r="G812" s="16" t="str">
        <f>IF(B812="Compra de estoque",VLOOKUP(C812,Tabela1[#All],4,0)*E812,"")</f>
        <v/>
      </c>
      <c r="H812" s="16"/>
    </row>
    <row r="813" spans="1:8" x14ac:dyDescent="0.25">
      <c r="A813" s="14" t="str">
        <f t="shared" ca="1" si="12"/>
        <v/>
      </c>
      <c r="D813" s="15" t="str">
        <f>IF(C813="","",VLOOKUP(C813,Tabela1[#All],2,0))</f>
        <v/>
      </c>
      <c r="F813" s="16" t="str" cm="1">
        <f t="array" ref="F813">IF(B813="","",(IF(B813="Compra de estoque","",(_xlfn.IFS(AND(B813="Venda de produtos",H813="Sul/Sudeste"),(VLOOKUP(C813,Tabela1[#All],9,0)*E813),AND(B813="Venda de produtos",H813="Nordeste"),(VLOOKUP(C813,Tabela1[#All],11,0)*E813),AND("Venda de produtos",H813="Norte/Centro-Oeste"),(VLOOKUP(C813,Tabela1[#All],13,0)*E813))))))</f>
        <v/>
      </c>
      <c r="G813" s="16" t="str">
        <f>IF(B813="Compra de estoque",VLOOKUP(C813,Tabela1[#All],4,0)*E813,"")</f>
        <v/>
      </c>
      <c r="H813" s="16"/>
    </row>
    <row r="814" spans="1:8" x14ac:dyDescent="0.25">
      <c r="A814" s="14" t="str">
        <f t="shared" ca="1" si="12"/>
        <v/>
      </c>
      <c r="D814" s="15" t="str">
        <f>IF(C814="","",VLOOKUP(C814,Tabela1[#All],2,0))</f>
        <v/>
      </c>
      <c r="F814" s="16" t="str" cm="1">
        <f t="array" ref="F814">IF(B814="","",(IF(B814="Compra de estoque","",(_xlfn.IFS(AND(B814="Venda de produtos",H814="Sul/Sudeste"),(VLOOKUP(C814,Tabela1[#All],9,0)*E814),AND(B814="Venda de produtos",H814="Nordeste"),(VLOOKUP(C814,Tabela1[#All],11,0)*E814),AND("Venda de produtos",H814="Norte/Centro-Oeste"),(VLOOKUP(C814,Tabela1[#All],13,0)*E814))))))</f>
        <v/>
      </c>
      <c r="G814" s="16" t="str">
        <f>IF(B814="Compra de estoque",VLOOKUP(C814,Tabela1[#All],4,0)*E814,"")</f>
        <v/>
      </c>
      <c r="H814" s="16"/>
    </row>
    <row r="815" spans="1:8" x14ac:dyDescent="0.25">
      <c r="A815" s="14" t="str">
        <f t="shared" ca="1" si="12"/>
        <v/>
      </c>
      <c r="D815" s="15" t="str">
        <f>IF(C815="","",VLOOKUP(C815,Tabela1[#All],2,0))</f>
        <v/>
      </c>
      <c r="F815" s="16" t="str" cm="1">
        <f t="array" ref="F815">IF(B815="","",(IF(B815="Compra de estoque","",(_xlfn.IFS(AND(B815="Venda de produtos",H815="Sul/Sudeste"),(VLOOKUP(C815,Tabela1[#All],9,0)*E815),AND(B815="Venda de produtos",H815="Nordeste"),(VLOOKUP(C815,Tabela1[#All],11,0)*E815),AND("Venda de produtos",H815="Norte/Centro-Oeste"),(VLOOKUP(C815,Tabela1[#All],13,0)*E815))))))</f>
        <v/>
      </c>
      <c r="G815" s="16" t="str">
        <f>IF(B815="Compra de estoque",VLOOKUP(C815,Tabela1[#All],4,0)*E815,"")</f>
        <v/>
      </c>
      <c r="H815" s="16"/>
    </row>
    <row r="816" spans="1:8" x14ac:dyDescent="0.25">
      <c r="A816" s="14" t="str">
        <f t="shared" ca="1" si="12"/>
        <v/>
      </c>
      <c r="D816" s="15" t="str">
        <f>IF(C816="","",VLOOKUP(C816,Tabela1[#All],2,0))</f>
        <v/>
      </c>
      <c r="F816" s="16" t="str" cm="1">
        <f t="array" ref="F816">IF(B816="","",(IF(B816="Compra de estoque","",(_xlfn.IFS(AND(B816="Venda de produtos",H816="Sul/Sudeste"),(VLOOKUP(C816,Tabela1[#All],9,0)*E816),AND(B816="Venda de produtos",H816="Nordeste"),(VLOOKUP(C816,Tabela1[#All],11,0)*E816),AND("Venda de produtos",H816="Norte/Centro-Oeste"),(VLOOKUP(C816,Tabela1[#All],13,0)*E816))))))</f>
        <v/>
      </c>
      <c r="G816" s="16" t="str">
        <f>IF(B816="Compra de estoque",VLOOKUP(C816,Tabela1[#All],4,0)*E816,"")</f>
        <v/>
      </c>
      <c r="H816" s="16"/>
    </row>
    <row r="817" spans="1:8" x14ac:dyDescent="0.25">
      <c r="A817" s="14" t="str">
        <f t="shared" ca="1" si="12"/>
        <v/>
      </c>
      <c r="D817" s="15" t="str">
        <f>IF(C817="","",VLOOKUP(C817,Tabela1[#All],2,0))</f>
        <v/>
      </c>
      <c r="F817" s="16" t="str" cm="1">
        <f t="array" ref="F817">IF(B817="","",(IF(B817="Compra de estoque","",(_xlfn.IFS(AND(B817="Venda de produtos",H817="Sul/Sudeste"),(VLOOKUP(C817,Tabela1[#All],9,0)*E817),AND(B817="Venda de produtos",H817="Nordeste"),(VLOOKUP(C817,Tabela1[#All],11,0)*E817),AND("Venda de produtos",H817="Norte/Centro-Oeste"),(VLOOKUP(C817,Tabela1[#All],13,0)*E817))))))</f>
        <v/>
      </c>
      <c r="G817" s="16" t="str">
        <f>IF(B817="Compra de estoque",VLOOKUP(C817,Tabela1[#All],4,0)*E817,"")</f>
        <v/>
      </c>
      <c r="H817" s="16"/>
    </row>
    <row r="818" spans="1:8" x14ac:dyDescent="0.25">
      <c r="A818" s="14" t="str">
        <f t="shared" ca="1" si="12"/>
        <v/>
      </c>
      <c r="D818" s="15" t="str">
        <f>IF(C818="","",VLOOKUP(C818,Tabela1[#All],2,0))</f>
        <v/>
      </c>
      <c r="F818" s="16" t="str" cm="1">
        <f t="array" ref="F818">IF(B818="","",(IF(B818="Compra de estoque","",(_xlfn.IFS(AND(B818="Venda de produtos",H818="Sul/Sudeste"),(VLOOKUP(C818,Tabela1[#All],9,0)*E818),AND(B818="Venda de produtos",H818="Nordeste"),(VLOOKUP(C818,Tabela1[#All],11,0)*E818),AND("Venda de produtos",H818="Norte/Centro-Oeste"),(VLOOKUP(C818,Tabela1[#All],13,0)*E818))))))</f>
        <v/>
      </c>
      <c r="G818" s="16" t="str">
        <f>IF(B818="Compra de estoque",VLOOKUP(C818,Tabela1[#All],4,0)*E818,"")</f>
        <v/>
      </c>
      <c r="H818" s="16"/>
    </row>
    <row r="819" spans="1:8" x14ac:dyDescent="0.25">
      <c r="A819" s="14" t="str">
        <f t="shared" ca="1" si="12"/>
        <v/>
      </c>
      <c r="D819" s="15" t="str">
        <f>IF(C819="","",VLOOKUP(C819,Tabela1[#All],2,0))</f>
        <v/>
      </c>
      <c r="F819" s="16" t="str" cm="1">
        <f t="array" ref="F819">IF(B819="","",(IF(B819="Compra de estoque","",(_xlfn.IFS(AND(B819="Venda de produtos",H819="Sul/Sudeste"),(VLOOKUP(C819,Tabela1[#All],9,0)*E819),AND(B819="Venda de produtos",H819="Nordeste"),(VLOOKUP(C819,Tabela1[#All],11,0)*E819),AND("Venda de produtos",H819="Norte/Centro-Oeste"),(VLOOKUP(C819,Tabela1[#All],13,0)*E819))))))</f>
        <v/>
      </c>
      <c r="G819" s="16" t="str">
        <f>IF(B819="Compra de estoque",VLOOKUP(C819,Tabela1[#All],4,0)*E819,"")</f>
        <v/>
      </c>
      <c r="H819" s="16"/>
    </row>
    <row r="820" spans="1:8" x14ac:dyDescent="0.25">
      <c r="A820" s="14" t="str">
        <f t="shared" ca="1" si="12"/>
        <v/>
      </c>
      <c r="D820" s="15" t="str">
        <f>IF(C820="","",VLOOKUP(C820,Tabela1[#All],2,0))</f>
        <v/>
      </c>
      <c r="F820" s="16" t="str" cm="1">
        <f t="array" ref="F820">IF(B820="","",(IF(B820="Compra de estoque","",(_xlfn.IFS(AND(B820="Venda de produtos",H820="Sul/Sudeste"),(VLOOKUP(C820,Tabela1[#All],9,0)*E820),AND(B820="Venda de produtos",H820="Nordeste"),(VLOOKUP(C820,Tabela1[#All],11,0)*E820),AND("Venda de produtos",H820="Norte/Centro-Oeste"),(VLOOKUP(C820,Tabela1[#All],13,0)*E820))))))</f>
        <v/>
      </c>
      <c r="G820" s="16" t="str">
        <f>IF(B820="Compra de estoque",VLOOKUP(C820,Tabela1[#All],4,0)*E820,"")</f>
        <v/>
      </c>
      <c r="H820" s="16"/>
    </row>
    <row r="821" spans="1:8" x14ac:dyDescent="0.25">
      <c r="A821" s="14" t="str">
        <f t="shared" ca="1" si="12"/>
        <v/>
      </c>
      <c r="D821" s="15" t="str">
        <f>IF(C821="","",VLOOKUP(C821,Tabela1[#All],2,0))</f>
        <v/>
      </c>
      <c r="F821" s="16" t="str" cm="1">
        <f t="array" ref="F821">IF(B821="","",(IF(B821="Compra de estoque","",(_xlfn.IFS(AND(B821="Venda de produtos",H821="Sul/Sudeste"),(VLOOKUP(C821,Tabela1[#All],9,0)*E821),AND(B821="Venda de produtos",H821="Nordeste"),(VLOOKUP(C821,Tabela1[#All],11,0)*E821),AND("Venda de produtos",H821="Norte/Centro-Oeste"),(VLOOKUP(C821,Tabela1[#All],13,0)*E821))))))</f>
        <v/>
      </c>
      <c r="G821" s="16" t="str">
        <f>IF(B821="Compra de estoque",VLOOKUP(C821,Tabela1[#All],4,0)*E821,"")</f>
        <v/>
      </c>
      <c r="H821" s="16"/>
    </row>
    <row r="822" spans="1:8" x14ac:dyDescent="0.25">
      <c r="A822" s="14" t="str">
        <f t="shared" ca="1" si="12"/>
        <v/>
      </c>
      <c r="D822" s="15" t="str">
        <f>IF(C822="","",VLOOKUP(C822,Tabela1[#All],2,0))</f>
        <v/>
      </c>
      <c r="F822" s="16" t="str" cm="1">
        <f t="array" ref="F822">IF(B822="","",(IF(B822="Compra de estoque","",(_xlfn.IFS(AND(B822="Venda de produtos",H822="Sul/Sudeste"),(VLOOKUP(C822,Tabela1[#All],9,0)*E822),AND(B822="Venda de produtos",H822="Nordeste"),(VLOOKUP(C822,Tabela1[#All],11,0)*E822),AND("Venda de produtos",H822="Norte/Centro-Oeste"),(VLOOKUP(C822,Tabela1[#All],13,0)*E822))))))</f>
        <v/>
      </c>
      <c r="G822" s="16" t="str">
        <f>IF(B822="Compra de estoque",VLOOKUP(C822,Tabela1[#All],4,0)*E822,"")</f>
        <v/>
      </c>
      <c r="H822" s="16"/>
    </row>
    <row r="823" spans="1:8" x14ac:dyDescent="0.25">
      <c r="A823" s="14" t="str">
        <f t="shared" ca="1" si="12"/>
        <v/>
      </c>
      <c r="D823" s="15" t="str">
        <f>IF(C823="","",VLOOKUP(C823,Tabela1[#All],2,0))</f>
        <v/>
      </c>
      <c r="F823" s="16" t="str" cm="1">
        <f t="array" ref="F823">IF(B823="","",(IF(B823="Compra de estoque","",(_xlfn.IFS(AND(B823="Venda de produtos",H823="Sul/Sudeste"),(VLOOKUP(C823,Tabela1[#All],9,0)*E823),AND(B823="Venda de produtos",H823="Nordeste"),(VLOOKUP(C823,Tabela1[#All],11,0)*E823),AND("Venda de produtos",H823="Norte/Centro-Oeste"),(VLOOKUP(C823,Tabela1[#All],13,0)*E823))))))</f>
        <v/>
      </c>
      <c r="G823" s="16" t="str">
        <f>IF(B823="Compra de estoque",VLOOKUP(C823,Tabela1[#All],4,0)*E823,"")</f>
        <v/>
      </c>
      <c r="H823" s="16"/>
    </row>
    <row r="824" spans="1:8" x14ac:dyDescent="0.25">
      <c r="A824" s="14" t="str">
        <f t="shared" ca="1" si="12"/>
        <v/>
      </c>
      <c r="D824" s="15" t="str">
        <f>IF(C824="","",VLOOKUP(C824,Tabela1[#All],2,0))</f>
        <v/>
      </c>
      <c r="F824" s="16" t="str" cm="1">
        <f t="array" ref="F824">IF(B824="","",(IF(B824="Compra de estoque","",(_xlfn.IFS(AND(B824="Venda de produtos",H824="Sul/Sudeste"),(VLOOKUP(C824,Tabela1[#All],9,0)*E824),AND(B824="Venda de produtos",H824="Nordeste"),(VLOOKUP(C824,Tabela1[#All],11,0)*E824),AND("Venda de produtos",H824="Norte/Centro-Oeste"),(VLOOKUP(C824,Tabela1[#All],13,0)*E824))))))</f>
        <v/>
      </c>
      <c r="G824" s="16" t="str">
        <f>IF(B824="Compra de estoque",VLOOKUP(C824,Tabela1[#All],4,0)*E824,"")</f>
        <v/>
      </c>
      <c r="H824" s="16"/>
    </row>
    <row r="825" spans="1:8" x14ac:dyDescent="0.25">
      <c r="A825" s="14" t="str">
        <f t="shared" ca="1" si="12"/>
        <v/>
      </c>
      <c r="D825" s="15" t="str">
        <f>IF(C825="","",VLOOKUP(C825,Tabela1[#All],2,0))</f>
        <v/>
      </c>
      <c r="F825" s="16" t="str" cm="1">
        <f t="array" ref="F825">IF(B825="","",(IF(B825="Compra de estoque","",(_xlfn.IFS(AND(B825="Venda de produtos",H825="Sul/Sudeste"),(VLOOKUP(C825,Tabela1[#All],9,0)*E825),AND(B825="Venda de produtos",H825="Nordeste"),(VLOOKUP(C825,Tabela1[#All],11,0)*E825),AND("Venda de produtos",H825="Norte/Centro-Oeste"),(VLOOKUP(C825,Tabela1[#All],13,0)*E825))))))</f>
        <v/>
      </c>
      <c r="G825" s="16" t="str">
        <f>IF(B825="Compra de estoque",VLOOKUP(C825,Tabela1[#All],4,0)*E825,"")</f>
        <v/>
      </c>
      <c r="H825" s="16"/>
    </row>
    <row r="826" spans="1:8" x14ac:dyDescent="0.25">
      <c r="A826" s="14" t="str">
        <f t="shared" ca="1" si="12"/>
        <v/>
      </c>
      <c r="D826" s="15" t="str">
        <f>IF(C826="","",VLOOKUP(C826,Tabela1[#All],2,0))</f>
        <v/>
      </c>
      <c r="F826" s="16" t="str" cm="1">
        <f t="array" ref="F826">IF(B826="","",(IF(B826="Compra de estoque","",(_xlfn.IFS(AND(B826="Venda de produtos",H826="Sul/Sudeste"),(VLOOKUP(C826,Tabela1[#All],9,0)*E826),AND(B826="Venda de produtos",H826="Nordeste"),(VLOOKUP(C826,Tabela1[#All],11,0)*E826),AND("Venda de produtos",H826="Norte/Centro-Oeste"),(VLOOKUP(C826,Tabela1[#All],13,0)*E826))))))</f>
        <v/>
      </c>
      <c r="G826" s="16" t="str">
        <f>IF(B826="Compra de estoque",VLOOKUP(C826,Tabela1[#All],4,0)*E826,"")</f>
        <v/>
      </c>
      <c r="H826" s="16"/>
    </row>
    <row r="827" spans="1:8" x14ac:dyDescent="0.25">
      <c r="A827" s="14" t="str">
        <f t="shared" ca="1" si="12"/>
        <v/>
      </c>
      <c r="D827" s="15" t="str">
        <f>IF(C827="","",VLOOKUP(C827,Tabela1[#All],2,0))</f>
        <v/>
      </c>
      <c r="F827" s="16" t="str" cm="1">
        <f t="array" ref="F827">IF(B827="","",(IF(B827="Compra de estoque","",(_xlfn.IFS(AND(B827="Venda de produtos",H827="Sul/Sudeste"),(VLOOKUP(C827,Tabela1[#All],9,0)*E827),AND(B827="Venda de produtos",H827="Nordeste"),(VLOOKUP(C827,Tabela1[#All],11,0)*E827),AND("Venda de produtos",H827="Norte/Centro-Oeste"),(VLOOKUP(C827,Tabela1[#All],13,0)*E827))))))</f>
        <v/>
      </c>
      <c r="G827" s="16" t="str">
        <f>IF(B827="Compra de estoque",VLOOKUP(C827,Tabela1[#All],4,0)*E827,"")</f>
        <v/>
      </c>
      <c r="H827" s="16"/>
    </row>
    <row r="828" spans="1:8" x14ac:dyDescent="0.25">
      <c r="A828" s="14" t="str">
        <f t="shared" ca="1" si="12"/>
        <v/>
      </c>
      <c r="D828" s="15" t="str">
        <f>IF(C828="","",VLOOKUP(C828,Tabela1[#All],2,0))</f>
        <v/>
      </c>
      <c r="F828" s="16" t="str" cm="1">
        <f t="array" ref="F828">IF(B828="","",(IF(B828="Compra de estoque","",(_xlfn.IFS(AND(B828="Venda de produtos",H828="Sul/Sudeste"),(VLOOKUP(C828,Tabela1[#All],9,0)*E828),AND(B828="Venda de produtos",H828="Nordeste"),(VLOOKUP(C828,Tabela1[#All],11,0)*E828),AND("Venda de produtos",H828="Norte/Centro-Oeste"),(VLOOKUP(C828,Tabela1[#All],13,0)*E828))))))</f>
        <v/>
      </c>
      <c r="G828" s="16" t="str">
        <f>IF(B828="Compra de estoque",VLOOKUP(C828,Tabela1[#All],4,0)*E828,"")</f>
        <v/>
      </c>
      <c r="H828" s="16"/>
    </row>
    <row r="829" spans="1:8" x14ac:dyDescent="0.25">
      <c r="A829" s="14" t="str">
        <f t="shared" ca="1" si="12"/>
        <v/>
      </c>
      <c r="D829" s="15" t="str">
        <f>IF(C829="","",VLOOKUP(C829,Tabela1[#All],2,0))</f>
        <v/>
      </c>
      <c r="F829" s="16" t="str" cm="1">
        <f t="array" ref="F829">IF(B829="","",(IF(B829="Compra de estoque","",(_xlfn.IFS(AND(B829="Venda de produtos",H829="Sul/Sudeste"),(VLOOKUP(C829,Tabela1[#All],9,0)*E829),AND(B829="Venda de produtos",H829="Nordeste"),(VLOOKUP(C829,Tabela1[#All],11,0)*E829),AND("Venda de produtos",H829="Norte/Centro-Oeste"),(VLOOKUP(C829,Tabela1[#All],13,0)*E829))))))</f>
        <v/>
      </c>
      <c r="G829" s="16" t="str">
        <f>IF(B829="Compra de estoque",VLOOKUP(C829,Tabela1[#All],4,0)*E829,"")</f>
        <v/>
      </c>
      <c r="H829" s="16"/>
    </row>
    <row r="830" spans="1:8" x14ac:dyDescent="0.25">
      <c r="A830" s="14" t="str">
        <f t="shared" ca="1" si="12"/>
        <v/>
      </c>
      <c r="D830" s="15" t="str">
        <f>IF(C830="","",VLOOKUP(C830,Tabela1[#All],2,0))</f>
        <v/>
      </c>
      <c r="F830" s="16" t="str" cm="1">
        <f t="array" ref="F830">IF(B830="","",(IF(B830="Compra de estoque","",(_xlfn.IFS(AND(B830="Venda de produtos",H830="Sul/Sudeste"),(VLOOKUP(C830,Tabela1[#All],9,0)*E830),AND(B830="Venda de produtos",H830="Nordeste"),(VLOOKUP(C830,Tabela1[#All],11,0)*E830),AND("Venda de produtos",H830="Norte/Centro-Oeste"),(VLOOKUP(C830,Tabela1[#All],13,0)*E830))))))</f>
        <v/>
      </c>
      <c r="G830" s="16" t="str">
        <f>IF(B830="Compra de estoque",VLOOKUP(C830,Tabela1[#All],4,0)*E830,"")</f>
        <v/>
      </c>
      <c r="H830" s="16"/>
    </row>
    <row r="831" spans="1:8" x14ac:dyDescent="0.25">
      <c r="A831" s="14" t="str">
        <f t="shared" ca="1" si="12"/>
        <v/>
      </c>
      <c r="D831" s="15" t="str">
        <f>IF(C831="","",VLOOKUP(C831,Tabela1[#All],2,0))</f>
        <v/>
      </c>
      <c r="F831" s="16" t="str" cm="1">
        <f t="array" ref="F831">IF(B831="","",(IF(B831="Compra de estoque","",(_xlfn.IFS(AND(B831="Venda de produtos",H831="Sul/Sudeste"),(VLOOKUP(C831,Tabela1[#All],9,0)*E831),AND(B831="Venda de produtos",H831="Nordeste"),(VLOOKUP(C831,Tabela1[#All],11,0)*E831),AND("Venda de produtos",H831="Norte/Centro-Oeste"),(VLOOKUP(C831,Tabela1[#All],13,0)*E831))))))</f>
        <v/>
      </c>
      <c r="G831" s="16" t="str">
        <f>IF(B831="Compra de estoque",VLOOKUP(C831,Tabela1[#All],4,0)*E831,"")</f>
        <v/>
      </c>
      <c r="H831" s="16"/>
    </row>
    <row r="832" spans="1:8" x14ac:dyDescent="0.25">
      <c r="A832" s="14" t="str">
        <f t="shared" ca="1" si="12"/>
        <v/>
      </c>
      <c r="D832" s="15" t="str">
        <f>IF(C832="","",VLOOKUP(C832,Tabela1[#All],2,0))</f>
        <v/>
      </c>
      <c r="F832" s="16" t="str" cm="1">
        <f t="array" ref="F832">IF(B832="","",(IF(B832="Compra de estoque","",(_xlfn.IFS(AND(B832="Venda de produtos",H832="Sul/Sudeste"),(VLOOKUP(C832,Tabela1[#All],9,0)*E832),AND(B832="Venda de produtos",H832="Nordeste"),(VLOOKUP(C832,Tabela1[#All],11,0)*E832),AND("Venda de produtos",H832="Norte/Centro-Oeste"),(VLOOKUP(C832,Tabela1[#All],13,0)*E832))))))</f>
        <v/>
      </c>
      <c r="G832" s="16" t="str">
        <f>IF(B832="Compra de estoque",VLOOKUP(C832,Tabela1[#All],4,0)*E832,"")</f>
        <v/>
      </c>
      <c r="H832" s="16"/>
    </row>
    <row r="833" spans="1:8" x14ac:dyDescent="0.25">
      <c r="A833" s="14" t="str">
        <f t="shared" ca="1" si="12"/>
        <v/>
      </c>
      <c r="D833" s="15" t="str">
        <f>IF(C833="","",VLOOKUP(C833,Tabela1[#All],2,0))</f>
        <v/>
      </c>
      <c r="F833" s="16" t="str" cm="1">
        <f t="array" ref="F833">IF(B833="","",(IF(B833="Compra de estoque","",(_xlfn.IFS(AND(B833="Venda de produtos",H833="Sul/Sudeste"),(VLOOKUP(C833,Tabela1[#All],9,0)*E833),AND(B833="Venda de produtos",H833="Nordeste"),(VLOOKUP(C833,Tabela1[#All],11,0)*E833),AND("Venda de produtos",H833="Norte/Centro-Oeste"),(VLOOKUP(C833,Tabela1[#All],13,0)*E833))))))</f>
        <v/>
      </c>
      <c r="G833" s="16" t="str">
        <f>IF(B833="Compra de estoque",VLOOKUP(C833,Tabela1[#All],4,0)*E833,"")</f>
        <v/>
      </c>
      <c r="H833" s="16"/>
    </row>
    <row r="834" spans="1:8" x14ac:dyDescent="0.25">
      <c r="A834" s="14" t="str">
        <f t="shared" ca="1" si="12"/>
        <v/>
      </c>
      <c r="D834" s="15" t="str">
        <f>IF(C834="","",VLOOKUP(C834,Tabela1[#All],2,0))</f>
        <v/>
      </c>
      <c r="F834" s="16" t="str" cm="1">
        <f t="array" ref="F834">IF(B834="","",(IF(B834="Compra de estoque","",(_xlfn.IFS(AND(B834="Venda de produtos",H834="Sul/Sudeste"),(VLOOKUP(C834,Tabela1[#All],9,0)*E834),AND(B834="Venda de produtos",H834="Nordeste"),(VLOOKUP(C834,Tabela1[#All],11,0)*E834),AND("Venda de produtos",H834="Norte/Centro-Oeste"),(VLOOKUP(C834,Tabela1[#All],13,0)*E834))))))</f>
        <v/>
      </c>
      <c r="G834" s="16" t="str">
        <f>IF(B834="Compra de estoque",VLOOKUP(C834,Tabela1[#All],4,0)*E834,"")</f>
        <v/>
      </c>
      <c r="H834" s="16"/>
    </row>
    <row r="835" spans="1:8" x14ac:dyDescent="0.25">
      <c r="A835" s="14" t="str">
        <f t="shared" ref="A835:A898" ca="1" si="13">IF(C835="","",NOW())</f>
        <v/>
      </c>
      <c r="D835" s="15" t="str">
        <f>IF(C835="","",VLOOKUP(C835,Tabela1[#All],2,0))</f>
        <v/>
      </c>
      <c r="F835" s="16" t="str" cm="1">
        <f t="array" ref="F835">IF(B835="","",(IF(B835="Compra de estoque","",(_xlfn.IFS(AND(B835="Venda de produtos",H835="Sul/Sudeste"),(VLOOKUP(C835,Tabela1[#All],9,0)*E835),AND(B835="Venda de produtos",H835="Nordeste"),(VLOOKUP(C835,Tabela1[#All],11,0)*E835),AND("Venda de produtos",H835="Norte/Centro-Oeste"),(VLOOKUP(C835,Tabela1[#All],13,0)*E835))))))</f>
        <v/>
      </c>
      <c r="G835" s="16" t="str">
        <f>IF(B835="Compra de estoque",VLOOKUP(C835,Tabela1[#All],4,0)*E835,"")</f>
        <v/>
      </c>
      <c r="H835" s="16"/>
    </row>
    <row r="836" spans="1:8" x14ac:dyDescent="0.25">
      <c r="A836" s="14" t="str">
        <f t="shared" ca="1" si="13"/>
        <v/>
      </c>
      <c r="D836" s="15" t="str">
        <f>IF(C836="","",VLOOKUP(C836,Tabela1[#All],2,0))</f>
        <v/>
      </c>
      <c r="F836" s="16" t="str" cm="1">
        <f t="array" ref="F836">IF(B836="","",(IF(B836="Compra de estoque","",(_xlfn.IFS(AND(B836="Venda de produtos",H836="Sul/Sudeste"),(VLOOKUP(C836,Tabela1[#All],9,0)*E836),AND(B836="Venda de produtos",H836="Nordeste"),(VLOOKUP(C836,Tabela1[#All],11,0)*E836),AND("Venda de produtos",H836="Norte/Centro-Oeste"),(VLOOKUP(C836,Tabela1[#All],13,0)*E836))))))</f>
        <v/>
      </c>
      <c r="G836" s="16" t="str">
        <f>IF(B836="Compra de estoque",VLOOKUP(C836,Tabela1[#All],4,0)*E836,"")</f>
        <v/>
      </c>
      <c r="H836" s="16"/>
    </row>
    <row r="837" spans="1:8" x14ac:dyDescent="0.25">
      <c r="A837" s="14" t="str">
        <f t="shared" ca="1" si="13"/>
        <v/>
      </c>
      <c r="D837" s="15" t="str">
        <f>IF(C837="","",VLOOKUP(C837,Tabela1[#All],2,0))</f>
        <v/>
      </c>
      <c r="F837" s="16" t="str" cm="1">
        <f t="array" ref="F837">IF(B837="","",(IF(B837="Compra de estoque","",(_xlfn.IFS(AND(B837="Venda de produtos",H837="Sul/Sudeste"),(VLOOKUP(C837,Tabela1[#All],9,0)*E837),AND(B837="Venda de produtos",H837="Nordeste"),(VLOOKUP(C837,Tabela1[#All],11,0)*E837),AND("Venda de produtos",H837="Norte/Centro-Oeste"),(VLOOKUP(C837,Tabela1[#All],13,0)*E837))))))</f>
        <v/>
      </c>
      <c r="G837" s="16" t="str">
        <f>IF(B837="Compra de estoque",VLOOKUP(C837,Tabela1[#All],4,0)*E837,"")</f>
        <v/>
      </c>
      <c r="H837" s="16"/>
    </row>
    <row r="838" spans="1:8" x14ac:dyDescent="0.25">
      <c r="A838" s="14" t="str">
        <f t="shared" ca="1" si="13"/>
        <v/>
      </c>
      <c r="D838" s="15" t="str">
        <f>IF(C838="","",VLOOKUP(C838,Tabela1[#All],2,0))</f>
        <v/>
      </c>
      <c r="F838" s="16" t="str" cm="1">
        <f t="array" ref="F838">IF(B838="","",(IF(B838="Compra de estoque","",(_xlfn.IFS(AND(B838="Venda de produtos",H838="Sul/Sudeste"),(VLOOKUP(C838,Tabela1[#All],9,0)*E838),AND(B838="Venda de produtos",H838="Nordeste"),(VLOOKUP(C838,Tabela1[#All],11,0)*E838),AND("Venda de produtos",H838="Norte/Centro-Oeste"),(VLOOKUP(C838,Tabela1[#All],13,0)*E838))))))</f>
        <v/>
      </c>
      <c r="G838" s="16" t="str">
        <f>IF(B838="Compra de estoque",VLOOKUP(C838,Tabela1[#All],4,0)*E838,"")</f>
        <v/>
      </c>
      <c r="H838" s="16"/>
    </row>
    <row r="839" spans="1:8" x14ac:dyDescent="0.25">
      <c r="A839" s="14" t="str">
        <f t="shared" ca="1" si="13"/>
        <v/>
      </c>
      <c r="D839" s="15" t="str">
        <f>IF(C839="","",VLOOKUP(C839,Tabela1[#All],2,0))</f>
        <v/>
      </c>
      <c r="F839" s="16" t="str" cm="1">
        <f t="array" ref="F839">IF(B839="","",(IF(B839="Compra de estoque","",(_xlfn.IFS(AND(B839="Venda de produtos",H839="Sul/Sudeste"),(VLOOKUP(C839,Tabela1[#All],9,0)*E839),AND(B839="Venda de produtos",H839="Nordeste"),(VLOOKUP(C839,Tabela1[#All],11,0)*E839),AND("Venda de produtos",H839="Norte/Centro-Oeste"),(VLOOKUP(C839,Tabela1[#All],13,0)*E839))))))</f>
        <v/>
      </c>
      <c r="G839" s="16" t="str">
        <f>IF(B839="Compra de estoque",VLOOKUP(C839,Tabela1[#All],4,0)*E839,"")</f>
        <v/>
      </c>
      <c r="H839" s="16"/>
    </row>
    <row r="840" spans="1:8" x14ac:dyDescent="0.25">
      <c r="A840" s="14" t="str">
        <f t="shared" ca="1" si="13"/>
        <v/>
      </c>
      <c r="D840" s="15" t="str">
        <f>IF(C840="","",VLOOKUP(C840,Tabela1[#All],2,0))</f>
        <v/>
      </c>
      <c r="F840" s="16" t="str" cm="1">
        <f t="array" ref="F840">IF(B840="","",(IF(B840="Compra de estoque","",(_xlfn.IFS(AND(B840="Venda de produtos",H840="Sul/Sudeste"),(VLOOKUP(C840,Tabela1[#All],9,0)*E840),AND(B840="Venda de produtos",H840="Nordeste"),(VLOOKUP(C840,Tabela1[#All],11,0)*E840),AND("Venda de produtos",H840="Norte/Centro-Oeste"),(VLOOKUP(C840,Tabela1[#All],13,0)*E840))))))</f>
        <v/>
      </c>
      <c r="G840" s="16" t="str">
        <f>IF(B840="Compra de estoque",VLOOKUP(C840,Tabela1[#All],4,0)*E840,"")</f>
        <v/>
      </c>
      <c r="H840" s="16"/>
    </row>
    <row r="841" spans="1:8" x14ac:dyDescent="0.25">
      <c r="A841" s="14" t="str">
        <f t="shared" ca="1" si="13"/>
        <v/>
      </c>
      <c r="D841" s="15" t="str">
        <f>IF(C841="","",VLOOKUP(C841,Tabela1[#All],2,0))</f>
        <v/>
      </c>
      <c r="F841" s="16" t="str" cm="1">
        <f t="array" ref="F841">IF(B841="","",(IF(B841="Compra de estoque","",(_xlfn.IFS(AND(B841="Venda de produtos",H841="Sul/Sudeste"),(VLOOKUP(C841,Tabela1[#All],9,0)*E841),AND(B841="Venda de produtos",H841="Nordeste"),(VLOOKUP(C841,Tabela1[#All],11,0)*E841),AND("Venda de produtos",H841="Norte/Centro-Oeste"),(VLOOKUP(C841,Tabela1[#All],13,0)*E841))))))</f>
        <v/>
      </c>
      <c r="G841" s="16" t="str">
        <f>IF(B841="Compra de estoque",VLOOKUP(C841,Tabela1[#All],4,0)*E841,"")</f>
        <v/>
      </c>
      <c r="H841" s="16"/>
    </row>
    <row r="842" spans="1:8" x14ac:dyDescent="0.25">
      <c r="A842" s="14" t="str">
        <f t="shared" ca="1" si="13"/>
        <v/>
      </c>
      <c r="D842" s="15" t="str">
        <f>IF(C842="","",VLOOKUP(C842,Tabela1[#All],2,0))</f>
        <v/>
      </c>
      <c r="F842" s="16" t="str" cm="1">
        <f t="array" ref="F842">IF(B842="","",(IF(B842="Compra de estoque","",(_xlfn.IFS(AND(B842="Venda de produtos",H842="Sul/Sudeste"),(VLOOKUP(C842,Tabela1[#All],9,0)*E842),AND(B842="Venda de produtos",H842="Nordeste"),(VLOOKUP(C842,Tabela1[#All],11,0)*E842),AND("Venda de produtos",H842="Norte/Centro-Oeste"),(VLOOKUP(C842,Tabela1[#All],13,0)*E842))))))</f>
        <v/>
      </c>
      <c r="G842" s="16" t="str">
        <f>IF(B842="Compra de estoque",VLOOKUP(C842,Tabela1[#All],4,0)*E842,"")</f>
        <v/>
      </c>
      <c r="H842" s="16"/>
    </row>
    <row r="843" spans="1:8" x14ac:dyDescent="0.25">
      <c r="A843" s="14" t="str">
        <f t="shared" ca="1" si="13"/>
        <v/>
      </c>
      <c r="D843" s="15" t="str">
        <f>IF(C843="","",VLOOKUP(C843,Tabela1[#All],2,0))</f>
        <v/>
      </c>
      <c r="F843" s="16" t="str" cm="1">
        <f t="array" ref="F843">IF(B843="","",(IF(B843="Compra de estoque","",(_xlfn.IFS(AND(B843="Venda de produtos",H843="Sul/Sudeste"),(VLOOKUP(C843,Tabela1[#All],9,0)*E843),AND(B843="Venda de produtos",H843="Nordeste"),(VLOOKUP(C843,Tabela1[#All],11,0)*E843),AND("Venda de produtos",H843="Norte/Centro-Oeste"),(VLOOKUP(C843,Tabela1[#All],13,0)*E843))))))</f>
        <v/>
      </c>
      <c r="G843" s="16" t="str">
        <f>IF(B843="Compra de estoque",VLOOKUP(C843,Tabela1[#All],4,0)*E843,"")</f>
        <v/>
      </c>
      <c r="H843" s="16"/>
    </row>
    <row r="844" spans="1:8" x14ac:dyDescent="0.25">
      <c r="A844" s="14" t="str">
        <f t="shared" ca="1" si="13"/>
        <v/>
      </c>
      <c r="D844" s="15" t="str">
        <f>IF(C844="","",VLOOKUP(C844,Tabela1[#All],2,0))</f>
        <v/>
      </c>
      <c r="F844" s="16" t="str" cm="1">
        <f t="array" ref="F844">IF(B844="","",(IF(B844="Compra de estoque","",(_xlfn.IFS(AND(B844="Venda de produtos",H844="Sul/Sudeste"),(VLOOKUP(C844,Tabela1[#All],9,0)*E844),AND(B844="Venda de produtos",H844="Nordeste"),(VLOOKUP(C844,Tabela1[#All],11,0)*E844),AND("Venda de produtos",H844="Norte/Centro-Oeste"),(VLOOKUP(C844,Tabela1[#All],13,0)*E844))))))</f>
        <v/>
      </c>
      <c r="G844" s="16" t="str">
        <f>IF(B844="Compra de estoque",VLOOKUP(C844,Tabela1[#All],4,0)*E844,"")</f>
        <v/>
      </c>
      <c r="H844" s="16"/>
    </row>
    <row r="845" spans="1:8" x14ac:dyDescent="0.25">
      <c r="A845" s="14" t="str">
        <f t="shared" ca="1" si="13"/>
        <v/>
      </c>
      <c r="D845" s="15" t="str">
        <f>IF(C845="","",VLOOKUP(C845,Tabela1[#All],2,0))</f>
        <v/>
      </c>
      <c r="F845" s="16" t="str" cm="1">
        <f t="array" ref="F845">IF(B845="","",(IF(B845="Compra de estoque","",(_xlfn.IFS(AND(B845="Venda de produtos",H845="Sul/Sudeste"),(VLOOKUP(C845,Tabela1[#All],9,0)*E845),AND(B845="Venda de produtos",H845="Nordeste"),(VLOOKUP(C845,Tabela1[#All],11,0)*E845),AND("Venda de produtos",H845="Norte/Centro-Oeste"),(VLOOKUP(C845,Tabela1[#All],13,0)*E845))))))</f>
        <v/>
      </c>
      <c r="G845" s="16" t="str">
        <f>IF(B845="Compra de estoque",VLOOKUP(C845,Tabela1[#All],4,0)*E845,"")</f>
        <v/>
      </c>
      <c r="H845" s="16"/>
    </row>
    <row r="846" spans="1:8" x14ac:dyDescent="0.25">
      <c r="A846" s="14" t="str">
        <f t="shared" ca="1" si="13"/>
        <v/>
      </c>
      <c r="D846" s="15" t="str">
        <f>IF(C846="","",VLOOKUP(C846,Tabela1[#All],2,0))</f>
        <v/>
      </c>
      <c r="F846" s="16" t="str" cm="1">
        <f t="array" ref="F846">IF(B846="","",(IF(B846="Compra de estoque","",(_xlfn.IFS(AND(B846="Venda de produtos",H846="Sul/Sudeste"),(VLOOKUP(C846,Tabela1[#All],9,0)*E846),AND(B846="Venda de produtos",H846="Nordeste"),(VLOOKUP(C846,Tabela1[#All],11,0)*E846),AND("Venda de produtos",H846="Norte/Centro-Oeste"),(VLOOKUP(C846,Tabela1[#All],13,0)*E846))))))</f>
        <v/>
      </c>
      <c r="G846" s="16" t="str">
        <f>IF(B846="Compra de estoque",VLOOKUP(C846,Tabela1[#All],4,0)*E846,"")</f>
        <v/>
      </c>
      <c r="H846" s="16"/>
    </row>
    <row r="847" spans="1:8" x14ac:dyDescent="0.25">
      <c r="A847" s="14" t="str">
        <f t="shared" ca="1" si="13"/>
        <v/>
      </c>
      <c r="D847" s="15" t="str">
        <f>IF(C847="","",VLOOKUP(C847,Tabela1[#All],2,0))</f>
        <v/>
      </c>
      <c r="F847" s="16" t="str" cm="1">
        <f t="array" ref="F847">IF(B847="","",(IF(B847="Compra de estoque","",(_xlfn.IFS(AND(B847="Venda de produtos",H847="Sul/Sudeste"),(VLOOKUP(C847,Tabela1[#All],9,0)*E847),AND(B847="Venda de produtos",H847="Nordeste"),(VLOOKUP(C847,Tabela1[#All],11,0)*E847),AND("Venda de produtos",H847="Norte/Centro-Oeste"),(VLOOKUP(C847,Tabela1[#All],13,0)*E847))))))</f>
        <v/>
      </c>
      <c r="G847" s="16" t="str">
        <f>IF(B847="Compra de estoque",VLOOKUP(C847,Tabela1[#All],4,0)*E847,"")</f>
        <v/>
      </c>
      <c r="H847" s="16"/>
    </row>
    <row r="848" spans="1:8" x14ac:dyDescent="0.25">
      <c r="A848" s="14" t="str">
        <f t="shared" ca="1" si="13"/>
        <v/>
      </c>
      <c r="D848" s="15" t="str">
        <f>IF(C848="","",VLOOKUP(C848,Tabela1[#All],2,0))</f>
        <v/>
      </c>
      <c r="F848" s="16" t="str" cm="1">
        <f t="array" ref="F848">IF(B848="","",(IF(B848="Compra de estoque","",(_xlfn.IFS(AND(B848="Venda de produtos",H848="Sul/Sudeste"),(VLOOKUP(C848,Tabela1[#All],9,0)*E848),AND(B848="Venda de produtos",H848="Nordeste"),(VLOOKUP(C848,Tabela1[#All],11,0)*E848),AND("Venda de produtos",H848="Norte/Centro-Oeste"),(VLOOKUP(C848,Tabela1[#All],13,0)*E848))))))</f>
        <v/>
      </c>
      <c r="G848" s="16" t="str">
        <f>IF(B848="Compra de estoque",VLOOKUP(C848,Tabela1[#All],4,0)*E848,"")</f>
        <v/>
      </c>
      <c r="H848" s="16"/>
    </row>
    <row r="849" spans="1:8" x14ac:dyDescent="0.25">
      <c r="A849" s="14" t="str">
        <f t="shared" ca="1" si="13"/>
        <v/>
      </c>
      <c r="D849" s="15" t="str">
        <f>IF(C849="","",VLOOKUP(C849,Tabela1[#All],2,0))</f>
        <v/>
      </c>
      <c r="F849" s="16" t="str" cm="1">
        <f t="array" ref="F849">IF(B849="","",(IF(B849="Compra de estoque","",(_xlfn.IFS(AND(B849="Venda de produtos",H849="Sul/Sudeste"),(VLOOKUP(C849,Tabela1[#All],9,0)*E849),AND(B849="Venda de produtos",H849="Nordeste"),(VLOOKUP(C849,Tabela1[#All],11,0)*E849),AND("Venda de produtos",H849="Norte/Centro-Oeste"),(VLOOKUP(C849,Tabela1[#All],13,0)*E849))))))</f>
        <v/>
      </c>
      <c r="G849" s="16" t="str">
        <f>IF(B849="Compra de estoque",VLOOKUP(C849,Tabela1[#All],4,0)*E849,"")</f>
        <v/>
      </c>
      <c r="H849" s="16"/>
    </row>
    <row r="850" spans="1:8" x14ac:dyDescent="0.25">
      <c r="A850" s="14" t="str">
        <f t="shared" ca="1" si="13"/>
        <v/>
      </c>
      <c r="D850" s="15" t="str">
        <f>IF(C850="","",VLOOKUP(C850,Tabela1[#All],2,0))</f>
        <v/>
      </c>
      <c r="F850" s="16" t="str" cm="1">
        <f t="array" ref="F850">IF(B850="","",(IF(B850="Compra de estoque","",(_xlfn.IFS(AND(B850="Venda de produtos",H850="Sul/Sudeste"),(VLOOKUP(C850,Tabela1[#All],9,0)*E850),AND(B850="Venda de produtos",H850="Nordeste"),(VLOOKUP(C850,Tabela1[#All],11,0)*E850),AND("Venda de produtos",H850="Norte/Centro-Oeste"),(VLOOKUP(C850,Tabela1[#All],13,0)*E850))))))</f>
        <v/>
      </c>
      <c r="G850" s="16" t="str">
        <f>IF(B850="Compra de estoque",VLOOKUP(C850,Tabela1[#All],4,0)*E850,"")</f>
        <v/>
      </c>
      <c r="H850" s="16"/>
    </row>
    <row r="851" spans="1:8" x14ac:dyDescent="0.25">
      <c r="A851" s="14" t="str">
        <f t="shared" ca="1" si="13"/>
        <v/>
      </c>
      <c r="D851" s="15" t="str">
        <f>IF(C851="","",VLOOKUP(C851,Tabela1[#All],2,0))</f>
        <v/>
      </c>
      <c r="F851" s="16" t="str" cm="1">
        <f t="array" ref="F851">IF(B851="","",(IF(B851="Compra de estoque","",(_xlfn.IFS(AND(B851="Venda de produtos",H851="Sul/Sudeste"),(VLOOKUP(C851,Tabela1[#All],9,0)*E851),AND(B851="Venda de produtos",H851="Nordeste"),(VLOOKUP(C851,Tabela1[#All],11,0)*E851),AND("Venda de produtos",H851="Norte/Centro-Oeste"),(VLOOKUP(C851,Tabela1[#All],13,0)*E851))))))</f>
        <v/>
      </c>
      <c r="G851" s="16" t="str">
        <f>IF(B851="Compra de estoque",VLOOKUP(C851,Tabela1[#All],4,0)*E851,"")</f>
        <v/>
      </c>
      <c r="H851" s="16"/>
    </row>
    <row r="852" spans="1:8" x14ac:dyDescent="0.25">
      <c r="A852" s="14" t="str">
        <f t="shared" ca="1" si="13"/>
        <v/>
      </c>
      <c r="D852" s="15" t="str">
        <f>IF(C852="","",VLOOKUP(C852,Tabela1[#All],2,0))</f>
        <v/>
      </c>
      <c r="F852" s="16" t="str" cm="1">
        <f t="array" ref="F852">IF(B852="","",(IF(B852="Compra de estoque","",(_xlfn.IFS(AND(B852="Venda de produtos",H852="Sul/Sudeste"),(VLOOKUP(C852,Tabela1[#All],9,0)*E852),AND(B852="Venda de produtos",H852="Nordeste"),(VLOOKUP(C852,Tabela1[#All],11,0)*E852),AND("Venda de produtos",H852="Norte/Centro-Oeste"),(VLOOKUP(C852,Tabela1[#All],13,0)*E852))))))</f>
        <v/>
      </c>
      <c r="G852" s="16" t="str">
        <f>IF(B852="Compra de estoque",VLOOKUP(C852,Tabela1[#All],4,0)*E852,"")</f>
        <v/>
      </c>
      <c r="H852" s="16"/>
    </row>
    <row r="853" spans="1:8" x14ac:dyDescent="0.25">
      <c r="A853" s="14" t="str">
        <f t="shared" ca="1" si="13"/>
        <v/>
      </c>
      <c r="D853" s="15" t="str">
        <f>IF(C853="","",VLOOKUP(C853,Tabela1[#All],2,0))</f>
        <v/>
      </c>
      <c r="F853" s="16" t="str" cm="1">
        <f t="array" ref="F853">IF(B853="","",(IF(B853="Compra de estoque","",(_xlfn.IFS(AND(B853="Venda de produtos",H853="Sul/Sudeste"),(VLOOKUP(C853,Tabela1[#All],9,0)*E853),AND(B853="Venda de produtos",H853="Nordeste"),(VLOOKUP(C853,Tabela1[#All],11,0)*E853),AND("Venda de produtos",H853="Norte/Centro-Oeste"),(VLOOKUP(C853,Tabela1[#All],13,0)*E853))))))</f>
        <v/>
      </c>
      <c r="G853" s="16" t="str">
        <f>IF(B853="Compra de estoque",VLOOKUP(C853,Tabela1[#All],4,0)*E853,"")</f>
        <v/>
      </c>
      <c r="H853" s="16"/>
    </row>
    <row r="854" spans="1:8" x14ac:dyDescent="0.25">
      <c r="A854" s="14" t="str">
        <f t="shared" ca="1" si="13"/>
        <v/>
      </c>
      <c r="D854" s="15" t="str">
        <f>IF(C854="","",VLOOKUP(C854,Tabela1[#All],2,0))</f>
        <v/>
      </c>
      <c r="F854" s="16" t="str" cm="1">
        <f t="array" ref="F854">IF(B854="","",(IF(B854="Compra de estoque","",(_xlfn.IFS(AND(B854="Venda de produtos",H854="Sul/Sudeste"),(VLOOKUP(C854,Tabela1[#All],9,0)*E854),AND(B854="Venda de produtos",H854="Nordeste"),(VLOOKUP(C854,Tabela1[#All],11,0)*E854),AND("Venda de produtos",H854="Norte/Centro-Oeste"),(VLOOKUP(C854,Tabela1[#All],13,0)*E854))))))</f>
        <v/>
      </c>
      <c r="G854" s="16" t="str">
        <f>IF(B854="Compra de estoque",VLOOKUP(C854,Tabela1[#All],4,0)*E854,"")</f>
        <v/>
      </c>
      <c r="H854" s="16"/>
    </row>
    <row r="855" spans="1:8" x14ac:dyDescent="0.25">
      <c r="A855" s="14" t="str">
        <f t="shared" ca="1" si="13"/>
        <v/>
      </c>
      <c r="D855" s="15" t="str">
        <f>IF(C855="","",VLOOKUP(C855,Tabela1[#All],2,0))</f>
        <v/>
      </c>
      <c r="F855" s="16" t="str" cm="1">
        <f t="array" ref="F855">IF(B855="","",(IF(B855="Compra de estoque","",(_xlfn.IFS(AND(B855="Venda de produtos",H855="Sul/Sudeste"),(VLOOKUP(C855,Tabela1[#All],9,0)*E855),AND(B855="Venda de produtos",H855="Nordeste"),(VLOOKUP(C855,Tabela1[#All],11,0)*E855),AND("Venda de produtos",H855="Norte/Centro-Oeste"),(VLOOKUP(C855,Tabela1[#All],13,0)*E855))))))</f>
        <v/>
      </c>
      <c r="G855" s="16" t="str">
        <f>IF(B855="Compra de estoque",VLOOKUP(C855,Tabela1[#All],4,0)*E855,"")</f>
        <v/>
      </c>
      <c r="H855" s="16"/>
    </row>
    <row r="856" spans="1:8" x14ac:dyDescent="0.25">
      <c r="A856" s="14" t="str">
        <f t="shared" ca="1" si="13"/>
        <v/>
      </c>
      <c r="D856" s="15" t="str">
        <f>IF(C856="","",VLOOKUP(C856,Tabela1[#All],2,0))</f>
        <v/>
      </c>
      <c r="F856" s="16" t="str" cm="1">
        <f t="array" ref="F856">IF(B856="","",(IF(B856="Compra de estoque","",(_xlfn.IFS(AND(B856="Venda de produtos",H856="Sul/Sudeste"),(VLOOKUP(C856,Tabela1[#All],9,0)*E856),AND(B856="Venda de produtos",H856="Nordeste"),(VLOOKUP(C856,Tabela1[#All],11,0)*E856),AND("Venda de produtos",H856="Norte/Centro-Oeste"),(VLOOKUP(C856,Tabela1[#All],13,0)*E856))))))</f>
        <v/>
      </c>
      <c r="G856" s="16" t="str">
        <f>IF(B856="Compra de estoque",VLOOKUP(C856,Tabela1[#All],4,0)*E856,"")</f>
        <v/>
      </c>
      <c r="H856" s="16"/>
    </row>
    <row r="857" spans="1:8" x14ac:dyDescent="0.25">
      <c r="A857" s="14" t="str">
        <f t="shared" ca="1" si="13"/>
        <v/>
      </c>
      <c r="D857" s="15" t="str">
        <f>IF(C857="","",VLOOKUP(C857,Tabela1[#All],2,0))</f>
        <v/>
      </c>
      <c r="F857" s="16" t="str" cm="1">
        <f t="array" ref="F857">IF(B857="","",(IF(B857="Compra de estoque","",(_xlfn.IFS(AND(B857="Venda de produtos",H857="Sul/Sudeste"),(VLOOKUP(C857,Tabela1[#All],9,0)*E857),AND(B857="Venda de produtos",H857="Nordeste"),(VLOOKUP(C857,Tabela1[#All],11,0)*E857),AND("Venda de produtos",H857="Norte/Centro-Oeste"),(VLOOKUP(C857,Tabela1[#All],13,0)*E857))))))</f>
        <v/>
      </c>
      <c r="G857" s="16" t="str">
        <f>IF(B857="Compra de estoque",VLOOKUP(C857,Tabela1[#All],4,0)*E857,"")</f>
        <v/>
      </c>
      <c r="H857" s="16"/>
    </row>
    <row r="858" spans="1:8" x14ac:dyDescent="0.25">
      <c r="A858" s="14" t="str">
        <f t="shared" ca="1" si="13"/>
        <v/>
      </c>
      <c r="D858" s="15" t="str">
        <f>IF(C858="","",VLOOKUP(C858,Tabela1[#All],2,0))</f>
        <v/>
      </c>
      <c r="F858" s="16" t="str" cm="1">
        <f t="array" ref="F858">IF(B858="","",(IF(B858="Compra de estoque","",(_xlfn.IFS(AND(B858="Venda de produtos",H858="Sul/Sudeste"),(VLOOKUP(C858,Tabela1[#All],9,0)*E858),AND(B858="Venda de produtos",H858="Nordeste"),(VLOOKUP(C858,Tabela1[#All],11,0)*E858),AND("Venda de produtos",H858="Norte/Centro-Oeste"),(VLOOKUP(C858,Tabela1[#All],13,0)*E858))))))</f>
        <v/>
      </c>
      <c r="G858" s="16" t="str">
        <f>IF(B858="Compra de estoque",VLOOKUP(C858,Tabela1[#All],4,0)*E858,"")</f>
        <v/>
      </c>
      <c r="H858" s="16"/>
    </row>
    <row r="859" spans="1:8" x14ac:dyDescent="0.25">
      <c r="A859" s="14" t="str">
        <f t="shared" ca="1" si="13"/>
        <v/>
      </c>
      <c r="D859" s="15" t="str">
        <f>IF(C859="","",VLOOKUP(C859,Tabela1[#All],2,0))</f>
        <v/>
      </c>
      <c r="F859" s="16" t="str" cm="1">
        <f t="array" ref="F859">IF(B859="","",(IF(B859="Compra de estoque","",(_xlfn.IFS(AND(B859="Venda de produtos",H859="Sul/Sudeste"),(VLOOKUP(C859,Tabela1[#All],9,0)*E859),AND(B859="Venda de produtos",H859="Nordeste"),(VLOOKUP(C859,Tabela1[#All],11,0)*E859),AND("Venda de produtos",H859="Norte/Centro-Oeste"),(VLOOKUP(C859,Tabela1[#All],13,0)*E859))))))</f>
        <v/>
      </c>
      <c r="G859" s="16" t="str">
        <f>IF(B859="Compra de estoque",VLOOKUP(C859,Tabela1[#All],4,0)*E859,"")</f>
        <v/>
      </c>
      <c r="H859" s="16"/>
    </row>
    <row r="860" spans="1:8" x14ac:dyDescent="0.25">
      <c r="A860" s="14" t="str">
        <f t="shared" ca="1" si="13"/>
        <v/>
      </c>
      <c r="D860" s="15" t="str">
        <f>IF(C860="","",VLOOKUP(C860,Tabela1[#All],2,0))</f>
        <v/>
      </c>
      <c r="F860" s="16" t="str" cm="1">
        <f t="array" ref="F860">IF(B860="","",(IF(B860="Compra de estoque","",(_xlfn.IFS(AND(B860="Venda de produtos",H860="Sul/Sudeste"),(VLOOKUP(C860,Tabela1[#All],9,0)*E860),AND(B860="Venda de produtos",H860="Nordeste"),(VLOOKUP(C860,Tabela1[#All],11,0)*E860),AND("Venda de produtos",H860="Norte/Centro-Oeste"),(VLOOKUP(C860,Tabela1[#All],13,0)*E860))))))</f>
        <v/>
      </c>
      <c r="G860" s="16" t="str">
        <f>IF(B860="Compra de estoque",VLOOKUP(C860,Tabela1[#All],4,0)*E860,"")</f>
        <v/>
      </c>
      <c r="H860" s="16"/>
    </row>
    <row r="861" spans="1:8" x14ac:dyDescent="0.25">
      <c r="A861" s="14" t="str">
        <f t="shared" ca="1" si="13"/>
        <v/>
      </c>
      <c r="D861" s="15" t="str">
        <f>IF(C861="","",VLOOKUP(C861,Tabela1[#All],2,0))</f>
        <v/>
      </c>
      <c r="F861" s="16" t="str" cm="1">
        <f t="array" ref="F861">IF(B861="","",(IF(B861="Compra de estoque","",(_xlfn.IFS(AND(B861="Venda de produtos",H861="Sul/Sudeste"),(VLOOKUP(C861,Tabela1[#All],9,0)*E861),AND(B861="Venda de produtos",H861="Nordeste"),(VLOOKUP(C861,Tabela1[#All],11,0)*E861),AND("Venda de produtos",H861="Norte/Centro-Oeste"),(VLOOKUP(C861,Tabela1[#All],13,0)*E861))))))</f>
        <v/>
      </c>
      <c r="G861" s="16" t="str">
        <f>IF(B861="Compra de estoque",VLOOKUP(C861,Tabela1[#All],4,0)*E861,"")</f>
        <v/>
      </c>
      <c r="H861" s="16"/>
    </row>
    <row r="862" spans="1:8" x14ac:dyDescent="0.25">
      <c r="A862" s="14" t="str">
        <f t="shared" ca="1" si="13"/>
        <v/>
      </c>
      <c r="D862" s="15" t="str">
        <f>IF(C862="","",VLOOKUP(C862,Tabela1[#All],2,0))</f>
        <v/>
      </c>
      <c r="F862" s="16" t="str" cm="1">
        <f t="array" ref="F862">IF(B862="","",(IF(B862="Compra de estoque","",(_xlfn.IFS(AND(B862="Venda de produtos",H862="Sul/Sudeste"),(VLOOKUP(C862,Tabela1[#All],9,0)*E862),AND(B862="Venda de produtos",H862="Nordeste"),(VLOOKUP(C862,Tabela1[#All],11,0)*E862),AND("Venda de produtos",H862="Norte/Centro-Oeste"),(VLOOKUP(C862,Tabela1[#All],13,0)*E862))))))</f>
        <v/>
      </c>
      <c r="G862" s="16" t="str">
        <f>IF(B862="Compra de estoque",VLOOKUP(C862,Tabela1[#All],4,0)*E862,"")</f>
        <v/>
      </c>
      <c r="H862" s="16"/>
    </row>
    <row r="863" spans="1:8" x14ac:dyDescent="0.25">
      <c r="A863" s="14" t="str">
        <f t="shared" ca="1" si="13"/>
        <v/>
      </c>
      <c r="D863" s="15" t="str">
        <f>IF(C863="","",VLOOKUP(C863,Tabela1[#All],2,0))</f>
        <v/>
      </c>
      <c r="F863" s="16" t="str" cm="1">
        <f t="array" ref="F863">IF(B863="","",(IF(B863="Compra de estoque","",(_xlfn.IFS(AND(B863="Venda de produtos",H863="Sul/Sudeste"),(VLOOKUP(C863,Tabela1[#All],9,0)*E863),AND(B863="Venda de produtos",H863="Nordeste"),(VLOOKUP(C863,Tabela1[#All],11,0)*E863),AND("Venda de produtos",H863="Norte/Centro-Oeste"),(VLOOKUP(C863,Tabela1[#All],13,0)*E863))))))</f>
        <v/>
      </c>
      <c r="G863" s="16" t="str">
        <f>IF(B863="Compra de estoque",VLOOKUP(C863,Tabela1[#All],4,0)*E863,"")</f>
        <v/>
      </c>
      <c r="H863" s="16"/>
    </row>
    <row r="864" spans="1:8" x14ac:dyDescent="0.25">
      <c r="A864" s="14" t="str">
        <f t="shared" ca="1" si="13"/>
        <v/>
      </c>
      <c r="D864" s="15" t="str">
        <f>IF(C864="","",VLOOKUP(C864,Tabela1[#All],2,0))</f>
        <v/>
      </c>
      <c r="F864" s="16" t="str" cm="1">
        <f t="array" ref="F864">IF(B864="","",(IF(B864="Compra de estoque","",(_xlfn.IFS(AND(B864="Venda de produtos",H864="Sul/Sudeste"),(VLOOKUP(C864,Tabela1[#All],9,0)*E864),AND(B864="Venda de produtos",H864="Nordeste"),(VLOOKUP(C864,Tabela1[#All],11,0)*E864),AND("Venda de produtos",H864="Norte/Centro-Oeste"),(VLOOKUP(C864,Tabela1[#All],13,0)*E864))))))</f>
        <v/>
      </c>
      <c r="G864" s="16" t="str">
        <f>IF(B864="Compra de estoque",VLOOKUP(C864,Tabela1[#All],4,0)*E864,"")</f>
        <v/>
      </c>
      <c r="H864" s="16"/>
    </row>
    <row r="865" spans="1:8" x14ac:dyDescent="0.25">
      <c r="A865" s="14" t="str">
        <f t="shared" ca="1" si="13"/>
        <v/>
      </c>
      <c r="D865" s="15" t="str">
        <f>IF(C865="","",VLOOKUP(C865,Tabela1[#All],2,0))</f>
        <v/>
      </c>
      <c r="F865" s="16" t="str" cm="1">
        <f t="array" ref="F865">IF(B865="","",(IF(B865="Compra de estoque","",(_xlfn.IFS(AND(B865="Venda de produtos",H865="Sul/Sudeste"),(VLOOKUP(C865,Tabela1[#All],9,0)*E865),AND(B865="Venda de produtos",H865="Nordeste"),(VLOOKUP(C865,Tabela1[#All],11,0)*E865),AND("Venda de produtos",H865="Norte/Centro-Oeste"),(VLOOKUP(C865,Tabela1[#All],13,0)*E865))))))</f>
        <v/>
      </c>
      <c r="G865" s="16" t="str">
        <f>IF(B865="Compra de estoque",VLOOKUP(C865,Tabela1[#All],4,0)*E865,"")</f>
        <v/>
      </c>
      <c r="H865" s="16"/>
    </row>
    <row r="866" spans="1:8" x14ac:dyDescent="0.25">
      <c r="A866" s="14" t="str">
        <f t="shared" ca="1" si="13"/>
        <v/>
      </c>
      <c r="D866" s="15" t="str">
        <f>IF(C866="","",VLOOKUP(C866,Tabela1[#All],2,0))</f>
        <v/>
      </c>
      <c r="F866" s="16" t="str" cm="1">
        <f t="array" ref="F866">IF(B866="","",(IF(B866="Compra de estoque","",(_xlfn.IFS(AND(B866="Venda de produtos",H866="Sul/Sudeste"),(VLOOKUP(C866,Tabela1[#All],9,0)*E866),AND(B866="Venda de produtos",H866="Nordeste"),(VLOOKUP(C866,Tabela1[#All],11,0)*E866),AND("Venda de produtos",H866="Norte/Centro-Oeste"),(VLOOKUP(C866,Tabela1[#All],13,0)*E866))))))</f>
        <v/>
      </c>
      <c r="G866" s="16" t="str">
        <f>IF(B866="Compra de estoque",VLOOKUP(C866,Tabela1[#All],4,0)*E866,"")</f>
        <v/>
      </c>
      <c r="H866" s="16"/>
    </row>
    <row r="867" spans="1:8" x14ac:dyDescent="0.25">
      <c r="A867" s="14" t="str">
        <f t="shared" ca="1" si="13"/>
        <v/>
      </c>
      <c r="D867" s="15" t="str">
        <f>IF(C867="","",VLOOKUP(C867,Tabela1[#All],2,0))</f>
        <v/>
      </c>
      <c r="F867" s="16" t="str" cm="1">
        <f t="array" ref="F867">IF(B867="","",(IF(B867="Compra de estoque","",(_xlfn.IFS(AND(B867="Venda de produtos",H867="Sul/Sudeste"),(VLOOKUP(C867,Tabela1[#All],9,0)*E867),AND(B867="Venda de produtos",H867="Nordeste"),(VLOOKUP(C867,Tabela1[#All],11,0)*E867),AND("Venda de produtos",H867="Norte/Centro-Oeste"),(VLOOKUP(C867,Tabela1[#All],13,0)*E867))))))</f>
        <v/>
      </c>
      <c r="G867" s="16" t="str">
        <f>IF(B867="Compra de estoque",VLOOKUP(C867,Tabela1[#All],4,0)*E867,"")</f>
        <v/>
      </c>
      <c r="H867" s="16"/>
    </row>
    <row r="868" spans="1:8" x14ac:dyDescent="0.25">
      <c r="A868" s="14" t="str">
        <f t="shared" ca="1" si="13"/>
        <v/>
      </c>
      <c r="D868" s="15" t="str">
        <f>IF(C868="","",VLOOKUP(C868,Tabela1[#All],2,0))</f>
        <v/>
      </c>
      <c r="F868" s="16" t="str" cm="1">
        <f t="array" ref="F868">IF(B868="","",(IF(B868="Compra de estoque","",(_xlfn.IFS(AND(B868="Venda de produtos",H868="Sul/Sudeste"),(VLOOKUP(C868,Tabela1[#All],9,0)*E868),AND(B868="Venda de produtos",H868="Nordeste"),(VLOOKUP(C868,Tabela1[#All],11,0)*E868),AND("Venda de produtos",H868="Norte/Centro-Oeste"),(VLOOKUP(C868,Tabela1[#All],13,0)*E868))))))</f>
        <v/>
      </c>
      <c r="G868" s="16" t="str">
        <f>IF(B868="Compra de estoque",VLOOKUP(C868,Tabela1[#All],4,0)*E868,"")</f>
        <v/>
      </c>
      <c r="H868" s="16"/>
    </row>
    <row r="869" spans="1:8" x14ac:dyDescent="0.25">
      <c r="A869" s="14" t="str">
        <f t="shared" ca="1" si="13"/>
        <v/>
      </c>
      <c r="D869" s="15" t="str">
        <f>IF(C869="","",VLOOKUP(C869,Tabela1[#All],2,0))</f>
        <v/>
      </c>
      <c r="F869" s="16" t="str" cm="1">
        <f t="array" ref="F869">IF(B869="","",(IF(B869="Compra de estoque","",(_xlfn.IFS(AND(B869="Venda de produtos",H869="Sul/Sudeste"),(VLOOKUP(C869,Tabela1[#All],9,0)*E869),AND(B869="Venda de produtos",H869="Nordeste"),(VLOOKUP(C869,Tabela1[#All],11,0)*E869),AND("Venda de produtos",H869="Norte/Centro-Oeste"),(VLOOKUP(C869,Tabela1[#All],13,0)*E869))))))</f>
        <v/>
      </c>
      <c r="G869" s="16" t="str">
        <f>IF(B869="Compra de estoque",VLOOKUP(C869,Tabela1[#All],4,0)*E869,"")</f>
        <v/>
      </c>
      <c r="H869" s="16"/>
    </row>
    <row r="870" spans="1:8" x14ac:dyDescent="0.25">
      <c r="A870" s="14" t="str">
        <f t="shared" ca="1" si="13"/>
        <v/>
      </c>
      <c r="D870" s="15" t="str">
        <f>IF(C870="","",VLOOKUP(C870,Tabela1[#All],2,0))</f>
        <v/>
      </c>
      <c r="F870" s="16" t="str" cm="1">
        <f t="array" ref="F870">IF(B870="","",(IF(B870="Compra de estoque","",(_xlfn.IFS(AND(B870="Venda de produtos",H870="Sul/Sudeste"),(VLOOKUP(C870,Tabela1[#All],9,0)*E870),AND(B870="Venda de produtos",H870="Nordeste"),(VLOOKUP(C870,Tabela1[#All],11,0)*E870),AND("Venda de produtos",H870="Norte/Centro-Oeste"),(VLOOKUP(C870,Tabela1[#All],13,0)*E870))))))</f>
        <v/>
      </c>
      <c r="G870" s="16" t="str">
        <f>IF(B870="Compra de estoque",VLOOKUP(C870,Tabela1[#All],4,0)*E870,"")</f>
        <v/>
      </c>
      <c r="H870" s="16"/>
    </row>
    <row r="871" spans="1:8" x14ac:dyDescent="0.25">
      <c r="A871" s="14" t="str">
        <f t="shared" ca="1" si="13"/>
        <v/>
      </c>
      <c r="D871" s="15" t="str">
        <f>IF(C871="","",VLOOKUP(C871,Tabela1[#All],2,0))</f>
        <v/>
      </c>
      <c r="F871" s="16" t="str" cm="1">
        <f t="array" ref="F871">IF(B871="","",(IF(B871="Compra de estoque","",(_xlfn.IFS(AND(B871="Venda de produtos",H871="Sul/Sudeste"),(VLOOKUP(C871,Tabela1[#All],9,0)*E871),AND(B871="Venda de produtos",H871="Nordeste"),(VLOOKUP(C871,Tabela1[#All],11,0)*E871),AND("Venda de produtos",H871="Norte/Centro-Oeste"),(VLOOKUP(C871,Tabela1[#All],13,0)*E871))))))</f>
        <v/>
      </c>
      <c r="G871" s="16" t="str">
        <f>IF(B871="Compra de estoque",VLOOKUP(C871,Tabela1[#All],4,0)*E871,"")</f>
        <v/>
      </c>
      <c r="H871" s="16"/>
    </row>
    <row r="872" spans="1:8" x14ac:dyDescent="0.25">
      <c r="A872" s="14" t="str">
        <f t="shared" ca="1" si="13"/>
        <v/>
      </c>
      <c r="D872" s="15" t="str">
        <f>IF(C872="","",VLOOKUP(C872,Tabela1[#All],2,0))</f>
        <v/>
      </c>
      <c r="F872" s="16" t="str" cm="1">
        <f t="array" ref="F872">IF(B872="","",(IF(B872="Compra de estoque","",(_xlfn.IFS(AND(B872="Venda de produtos",H872="Sul/Sudeste"),(VLOOKUP(C872,Tabela1[#All],9,0)*E872),AND(B872="Venda de produtos",H872="Nordeste"),(VLOOKUP(C872,Tabela1[#All],11,0)*E872),AND("Venda de produtos",H872="Norte/Centro-Oeste"),(VLOOKUP(C872,Tabela1[#All],13,0)*E872))))))</f>
        <v/>
      </c>
      <c r="G872" s="16" t="str">
        <f>IF(B872="Compra de estoque",VLOOKUP(C872,Tabela1[#All],4,0)*E872,"")</f>
        <v/>
      </c>
      <c r="H872" s="16"/>
    </row>
    <row r="873" spans="1:8" x14ac:dyDescent="0.25">
      <c r="A873" s="14" t="str">
        <f t="shared" ca="1" si="13"/>
        <v/>
      </c>
      <c r="D873" s="15" t="str">
        <f>IF(C873="","",VLOOKUP(C873,Tabela1[#All],2,0))</f>
        <v/>
      </c>
      <c r="F873" s="16" t="str" cm="1">
        <f t="array" ref="F873">IF(B873="","",(IF(B873="Compra de estoque","",(_xlfn.IFS(AND(B873="Venda de produtos",H873="Sul/Sudeste"),(VLOOKUP(C873,Tabela1[#All],9,0)*E873),AND(B873="Venda de produtos",H873="Nordeste"),(VLOOKUP(C873,Tabela1[#All],11,0)*E873),AND("Venda de produtos",H873="Norte/Centro-Oeste"),(VLOOKUP(C873,Tabela1[#All],13,0)*E873))))))</f>
        <v/>
      </c>
      <c r="G873" s="16" t="str">
        <f>IF(B873="Compra de estoque",VLOOKUP(C873,Tabela1[#All],4,0)*E873,"")</f>
        <v/>
      </c>
      <c r="H873" s="16"/>
    </row>
    <row r="874" spans="1:8" x14ac:dyDescent="0.25">
      <c r="A874" s="14" t="str">
        <f t="shared" ca="1" si="13"/>
        <v/>
      </c>
      <c r="D874" s="15" t="str">
        <f>IF(C874="","",VLOOKUP(C874,Tabela1[#All],2,0))</f>
        <v/>
      </c>
      <c r="F874" s="16" t="str" cm="1">
        <f t="array" ref="F874">IF(B874="","",(IF(B874="Compra de estoque","",(_xlfn.IFS(AND(B874="Venda de produtos",H874="Sul/Sudeste"),(VLOOKUP(C874,Tabela1[#All],9,0)*E874),AND(B874="Venda de produtos",H874="Nordeste"),(VLOOKUP(C874,Tabela1[#All],11,0)*E874),AND("Venda de produtos",H874="Norte/Centro-Oeste"),(VLOOKUP(C874,Tabela1[#All],13,0)*E874))))))</f>
        <v/>
      </c>
      <c r="G874" s="16" t="str">
        <f>IF(B874="Compra de estoque",VLOOKUP(C874,Tabela1[#All],4,0)*E874,"")</f>
        <v/>
      </c>
      <c r="H874" s="16"/>
    </row>
    <row r="875" spans="1:8" x14ac:dyDescent="0.25">
      <c r="A875" s="14" t="str">
        <f t="shared" ca="1" si="13"/>
        <v/>
      </c>
      <c r="D875" s="15" t="str">
        <f>IF(C875="","",VLOOKUP(C875,Tabela1[#All],2,0))</f>
        <v/>
      </c>
      <c r="F875" s="16" t="str" cm="1">
        <f t="array" ref="F875">IF(B875="","",(IF(B875="Compra de estoque","",(_xlfn.IFS(AND(B875="Venda de produtos",H875="Sul/Sudeste"),(VLOOKUP(C875,Tabela1[#All],9,0)*E875),AND(B875="Venda de produtos",H875="Nordeste"),(VLOOKUP(C875,Tabela1[#All],11,0)*E875),AND("Venda de produtos",H875="Norte/Centro-Oeste"),(VLOOKUP(C875,Tabela1[#All],13,0)*E875))))))</f>
        <v/>
      </c>
      <c r="G875" s="16" t="str">
        <f>IF(B875="Compra de estoque",VLOOKUP(C875,Tabela1[#All],4,0)*E875,"")</f>
        <v/>
      </c>
      <c r="H875" s="16"/>
    </row>
    <row r="876" spans="1:8" x14ac:dyDescent="0.25">
      <c r="A876" s="14" t="str">
        <f t="shared" ca="1" si="13"/>
        <v/>
      </c>
      <c r="D876" s="15" t="str">
        <f>IF(C876="","",VLOOKUP(C876,Tabela1[#All],2,0))</f>
        <v/>
      </c>
      <c r="F876" s="16" t="str" cm="1">
        <f t="array" ref="F876">IF(B876="","",(IF(B876="Compra de estoque","",(_xlfn.IFS(AND(B876="Venda de produtos",H876="Sul/Sudeste"),(VLOOKUP(C876,Tabela1[#All],9,0)*E876),AND(B876="Venda de produtos",H876="Nordeste"),(VLOOKUP(C876,Tabela1[#All],11,0)*E876),AND("Venda de produtos",H876="Norte/Centro-Oeste"),(VLOOKUP(C876,Tabela1[#All],13,0)*E876))))))</f>
        <v/>
      </c>
      <c r="G876" s="16" t="str">
        <f>IF(B876="Compra de estoque",VLOOKUP(C876,Tabela1[#All],4,0)*E876,"")</f>
        <v/>
      </c>
      <c r="H876" s="16"/>
    </row>
    <row r="877" spans="1:8" x14ac:dyDescent="0.25">
      <c r="A877" s="14" t="str">
        <f t="shared" ca="1" si="13"/>
        <v/>
      </c>
      <c r="D877" s="15" t="str">
        <f>IF(C877="","",VLOOKUP(C877,Tabela1[#All],2,0))</f>
        <v/>
      </c>
      <c r="F877" s="16" t="str" cm="1">
        <f t="array" ref="F877">IF(B877="","",(IF(B877="Compra de estoque","",(_xlfn.IFS(AND(B877="Venda de produtos",H877="Sul/Sudeste"),(VLOOKUP(C877,Tabela1[#All],9,0)*E877),AND(B877="Venda de produtos",H877="Nordeste"),(VLOOKUP(C877,Tabela1[#All],11,0)*E877),AND("Venda de produtos",H877="Norte/Centro-Oeste"),(VLOOKUP(C877,Tabela1[#All],13,0)*E877))))))</f>
        <v/>
      </c>
      <c r="G877" s="16" t="str">
        <f>IF(B877="Compra de estoque",VLOOKUP(C877,Tabela1[#All],4,0)*E877,"")</f>
        <v/>
      </c>
      <c r="H877" s="16"/>
    </row>
    <row r="878" spans="1:8" x14ac:dyDescent="0.25">
      <c r="A878" s="14" t="str">
        <f t="shared" ca="1" si="13"/>
        <v/>
      </c>
      <c r="D878" s="15" t="str">
        <f>IF(C878="","",VLOOKUP(C878,Tabela1[#All],2,0))</f>
        <v/>
      </c>
      <c r="F878" s="16" t="str" cm="1">
        <f t="array" ref="F878">IF(B878="","",(IF(B878="Compra de estoque","",(_xlfn.IFS(AND(B878="Venda de produtos",H878="Sul/Sudeste"),(VLOOKUP(C878,Tabela1[#All],9,0)*E878),AND(B878="Venda de produtos",H878="Nordeste"),(VLOOKUP(C878,Tabela1[#All],11,0)*E878),AND("Venda de produtos",H878="Norte/Centro-Oeste"),(VLOOKUP(C878,Tabela1[#All],13,0)*E878))))))</f>
        <v/>
      </c>
      <c r="G878" s="16" t="str">
        <f>IF(B878="Compra de estoque",VLOOKUP(C878,Tabela1[#All],4,0)*E878,"")</f>
        <v/>
      </c>
      <c r="H878" s="16"/>
    </row>
    <row r="879" spans="1:8" x14ac:dyDescent="0.25">
      <c r="A879" s="14" t="str">
        <f t="shared" ca="1" si="13"/>
        <v/>
      </c>
      <c r="D879" s="15" t="str">
        <f>IF(C879="","",VLOOKUP(C879,Tabela1[#All],2,0))</f>
        <v/>
      </c>
      <c r="F879" s="16" t="str" cm="1">
        <f t="array" ref="F879">IF(B879="","",(IF(B879="Compra de estoque","",(_xlfn.IFS(AND(B879="Venda de produtos",H879="Sul/Sudeste"),(VLOOKUP(C879,Tabela1[#All],9,0)*E879),AND(B879="Venda de produtos",H879="Nordeste"),(VLOOKUP(C879,Tabela1[#All],11,0)*E879),AND("Venda de produtos",H879="Norte/Centro-Oeste"),(VLOOKUP(C879,Tabela1[#All],13,0)*E879))))))</f>
        <v/>
      </c>
      <c r="G879" s="16" t="str">
        <f>IF(B879="Compra de estoque",VLOOKUP(C879,Tabela1[#All],4,0)*E879,"")</f>
        <v/>
      </c>
      <c r="H879" s="16"/>
    </row>
    <row r="880" spans="1:8" x14ac:dyDescent="0.25">
      <c r="A880" s="14" t="str">
        <f t="shared" ca="1" si="13"/>
        <v/>
      </c>
      <c r="D880" s="15" t="str">
        <f>IF(C880="","",VLOOKUP(C880,Tabela1[#All],2,0))</f>
        <v/>
      </c>
      <c r="F880" s="16" t="str" cm="1">
        <f t="array" ref="F880">IF(B880="","",(IF(B880="Compra de estoque","",(_xlfn.IFS(AND(B880="Venda de produtos",H880="Sul/Sudeste"),(VLOOKUP(C880,Tabela1[#All],9,0)*E880),AND(B880="Venda de produtos",H880="Nordeste"),(VLOOKUP(C880,Tabela1[#All],11,0)*E880),AND("Venda de produtos",H880="Norte/Centro-Oeste"),(VLOOKUP(C880,Tabela1[#All],13,0)*E880))))))</f>
        <v/>
      </c>
      <c r="G880" s="16" t="str">
        <f>IF(B880="Compra de estoque",VLOOKUP(C880,Tabela1[#All],4,0)*E880,"")</f>
        <v/>
      </c>
      <c r="H880" s="16"/>
    </row>
    <row r="881" spans="1:8" x14ac:dyDescent="0.25">
      <c r="A881" s="14" t="str">
        <f t="shared" ca="1" si="13"/>
        <v/>
      </c>
      <c r="D881" s="15" t="str">
        <f>IF(C881="","",VLOOKUP(C881,Tabela1[#All],2,0))</f>
        <v/>
      </c>
      <c r="F881" s="16" t="str" cm="1">
        <f t="array" ref="F881">IF(B881="","",(IF(B881="Compra de estoque","",(_xlfn.IFS(AND(B881="Venda de produtos",H881="Sul/Sudeste"),(VLOOKUP(C881,Tabela1[#All],9,0)*E881),AND(B881="Venda de produtos",H881="Nordeste"),(VLOOKUP(C881,Tabela1[#All],11,0)*E881),AND("Venda de produtos",H881="Norte/Centro-Oeste"),(VLOOKUP(C881,Tabela1[#All],13,0)*E881))))))</f>
        <v/>
      </c>
      <c r="G881" s="16" t="str">
        <f>IF(B881="Compra de estoque",VLOOKUP(C881,Tabela1[#All],4,0)*E881,"")</f>
        <v/>
      </c>
      <c r="H881" s="16"/>
    </row>
    <row r="882" spans="1:8" x14ac:dyDescent="0.25">
      <c r="A882" s="14" t="str">
        <f t="shared" ca="1" si="13"/>
        <v/>
      </c>
      <c r="D882" s="15" t="str">
        <f>IF(C882="","",VLOOKUP(C882,Tabela1[#All],2,0))</f>
        <v/>
      </c>
      <c r="F882" s="16" t="str" cm="1">
        <f t="array" ref="F882">IF(B882="","",(IF(B882="Compra de estoque","",(_xlfn.IFS(AND(B882="Venda de produtos",H882="Sul/Sudeste"),(VLOOKUP(C882,Tabela1[#All],9,0)*E882),AND(B882="Venda de produtos",H882="Nordeste"),(VLOOKUP(C882,Tabela1[#All],11,0)*E882),AND("Venda de produtos",H882="Norte/Centro-Oeste"),(VLOOKUP(C882,Tabela1[#All],13,0)*E882))))))</f>
        <v/>
      </c>
      <c r="G882" s="16" t="str">
        <f>IF(B882="Compra de estoque",VLOOKUP(C882,Tabela1[#All],4,0)*E882,"")</f>
        <v/>
      </c>
      <c r="H882" s="16"/>
    </row>
    <row r="883" spans="1:8" x14ac:dyDescent="0.25">
      <c r="A883" s="14" t="str">
        <f t="shared" ca="1" si="13"/>
        <v/>
      </c>
      <c r="D883" s="15" t="str">
        <f>IF(C883="","",VLOOKUP(C883,Tabela1[#All],2,0))</f>
        <v/>
      </c>
      <c r="F883" s="16" t="str" cm="1">
        <f t="array" ref="F883">IF(B883="","",(IF(B883="Compra de estoque","",(_xlfn.IFS(AND(B883="Venda de produtos",H883="Sul/Sudeste"),(VLOOKUP(C883,Tabela1[#All],9,0)*E883),AND(B883="Venda de produtos",H883="Nordeste"),(VLOOKUP(C883,Tabela1[#All],11,0)*E883),AND("Venda de produtos",H883="Norte/Centro-Oeste"),(VLOOKUP(C883,Tabela1[#All],13,0)*E883))))))</f>
        <v/>
      </c>
      <c r="G883" s="16" t="str">
        <f>IF(B883="Compra de estoque",VLOOKUP(C883,Tabela1[#All],4,0)*E883,"")</f>
        <v/>
      </c>
      <c r="H883" s="16"/>
    </row>
    <row r="884" spans="1:8" x14ac:dyDescent="0.25">
      <c r="A884" s="14" t="str">
        <f t="shared" ca="1" si="13"/>
        <v/>
      </c>
      <c r="D884" s="15" t="str">
        <f>IF(C884="","",VLOOKUP(C884,Tabela1[#All],2,0))</f>
        <v/>
      </c>
      <c r="F884" s="16" t="str" cm="1">
        <f t="array" ref="F884">IF(B884="","",(IF(B884="Compra de estoque","",(_xlfn.IFS(AND(B884="Venda de produtos",H884="Sul/Sudeste"),(VLOOKUP(C884,Tabela1[#All],9,0)*E884),AND(B884="Venda de produtos",H884="Nordeste"),(VLOOKUP(C884,Tabela1[#All],11,0)*E884),AND("Venda de produtos",H884="Norte/Centro-Oeste"),(VLOOKUP(C884,Tabela1[#All],13,0)*E884))))))</f>
        <v/>
      </c>
      <c r="G884" s="16" t="str">
        <f>IF(B884="Compra de estoque",VLOOKUP(C884,Tabela1[#All],4,0)*E884,"")</f>
        <v/>
      </c>
      <c r="H884" s="16"/>
    </row>
    <row r="885" spans="1:8" x14ac:dyDescent="0.25">
      <c r="A885" s="14" t="str">
        <f t="shared" ca="1" si="13"/>
        <v/>
      </c>
      <c r="D885" s="15" t="str">
        <f>IF(C885="","",VLOOKUP(C885,Tabela1[#All],2,0))</f>
        <v/>
      </c>
      <c r="F885" s="16" t="str" cm="1">
        <f t="array" ref="F885">IF(B885="","",(IF(B885="Compra de estoque","",(_xlfn.IFS(AND(B885="Venda de produtos",H885="Sul/Sudeste"),(VLOOKUP(C885,Tabela1[#All],9,0)*E885),AND(B885="Venda de produtos",H885="Nordeste"),(VLOOKUP(C885,Tabela1[#All],11,0)*E885),AND("Venda de produtos",H885="Norte/Centro-Oeste"),(VLOOKUP(C885,Tabela1[#All],13,0)*E885))))))</f>
        <v/>
      </c>
      <c r="G885" s="16" t="str">
        <f>IF(B885="Compra de estoque",VLOOKUP(C885,Tabela1[#All],4,0)*E885,"")</f>
        <v/>
      </c>
      <c r="H885" s="16"/>
    </row>
    <row r="886" spans="1:8" x14ac:dyDescent="0.25">
      <c r="A886" s="14" t="str">
        <f t="shared" ca="1" si="13"/>
        <v/>
      </c>
      <c r="D886" s="15" t="str">
        <f>IF(C886="","",VLOOKUP(C886,Tabela1[#All],2,0))</f>
        <v/>
      </c>
      <c r="F886" s="16" t="str" cm="1">
        <f t="array" ref="F886">IF(B886="","",(IF(B886="Compra de estoque","",(_xlfn.IFS(AND(B886="Venda de produtos",H886="Sul/Sudeste"),(VLOOKUP(C886,Tabela1[#All],9,0)*E886),AND(B886="Venda de produtos",H886="Nordeste"),(VLOOKUP(C886,Tabela1[#All],11,0)*E886),AND("Venda de produtos",H886="Norte/Centro-Oeste"),(VLOOKUP(C886,Tabela1[#All],13,0)*E886))))))</f>
        <v/>
      </c>
      <c r="G886" s="16" t="str">
        <f>IF(B886="Compra de estoque",VLOOKUP(C886,Tabela1[#All],4,0)*E886,"")</f>
        <v/>
      </c>
      <c r="H886" s="16"/>
    </row>
    <row r="887" spans="1:8" x14ac:dyDescent="0.25">
      <c r="A887" s="14" t="str">
        <f t="shared" ca="1" si="13"/>
        <v/>
      </c>
      <c r="D887" s="15" t="str">
        <f>IF(C887="","",VLOOKUP(C887,Tabela1[#All],2,0))</f>
        <v/>
      </c>
      <c r="F887" s="16" t="str" cm="1">
        <f t="array" ref="F887">IF(B887="","",(IF(B887="Compra de estoque","",(_xlfn.IFS(AND(B887="Venda de produtos",H887="Sul/Sudeste"),(VLOOKUP(C887,Tabela1[#All],9,0)*E887),AND(B887="Venda de produtos",H887="Nordeste"),(VLOOKUP(C887,Tabela1[#All],11,0)*E887),AND("Venda de produtos",H887="Norte/Centro-Oeste"),(VLOOKUP(C887,Tabela1[#All],13,0)*E887))))))</f>
        <v/>
      </c>
      <c r="G887" s="16" t="str">
        <f>IF(B887="Compra de estoque",VLOOKUP(C887,Tabela1[#All],4,0)*E887,"")</f>
        <v/>
      </c>
      <c r="H887" s="16"/>
    </row>
    <row r="888" spans="1:8" x14ac:dyDescent="0.25">
      <c r="A888" s="14" t="str">
        <f t="shared" ca="1" si="13"/>
        <v/>
      </c>
      <c r="D888" s="15" t="str">
        <f>IF(C888="","",VLOOKUP(C888,Tabela1[#All],2,0))</f>
        <v/>
      </c>
      <c r="F888" s="16" t="str" cm="1">
        <f t="array" ref="F888">IF(B888="","",(IF(B888="Compra de estoque","",(_xlfn.IFS(AND(B888="Venda de produtos",H888="Sul/Sudeste"),(VLOOKUP(C888,Tabela1[#All],9,0)*E888),AND(B888="Venda de produtos",H888="Nordeste"),(VLOOKUP(C888,Tabela1[#All],11,0)*E888),AND("Venda de produtos",H888="Norte/Centro-Oeste"),(VLOOKUP(C888,Tabela1[#All],13,0)*E888))))))</f>
        <v/>
      </c>
      <c r="G888" s="16" t="str">
        <f>IF(B888="Compra de estoque",VLOOKUP(C888,Tabela1[#All],4,0)*E888,"")</f>
        <v/>
      </c>
      <c r="H888" s="16"/>
    </row>
    <row r="889" spans="1:8" x14ac:dyDescent="0.25">
      <c r="A889" s="14" t="str">
        <f t="shared" ca="1" si="13"/>
        <v/>
      </c>
      <c r="D889" s="15" t="str">
        <f>IF(C889="","",VLOOKUP(C889,Tabela1[#All],2,0))</f>
        <v/>
      </c>
      <c r="F889" s="16" t="str" cm="1">
        <f t="array" ref="F889">IF(B889="","",(IF(B889="Compra de estoque","",(_xlfn.IFS(AND(B889="Venda de produtos",H889="Sul/Sudeste"),(VLOOKUP(C889,Tabela1[#All],9,0)*E889),AND(B889="Venda de produtos",H889="Nordeste"),(VLOOKUP(C889,Tabela1[#All],11,0)*E889),AND("Venda de produtos",H889="Norte/Centro-Oeste"),(VLOOKUP(C889,Tabela1[#All],13,0)*E889))))))</f>
        <v/>
      </c>
      <c r="G889" s="16" t="str">
        <f>IF(B889="Compra de estoque",VLOOKUP(C889,Tabela1[#All],4,0)*E889,"")</f>
        <v/>
      </c>
      <c r="H889" s="16"/>
    </row>
    <row r="890" spans="1:8" x14ac:dyDescent="0.25">
      <c r="A890" s="14" t="str">
        <f t="shared" ca="1" si="13"/>
        <v/>
      </c>
      <c r="D890" s="15" t="str">
        <f>IF(C890="","",VLOOKUP(C890,Tabela1[#All],2,0))</f>
        <v/>
      </c>
      <c r="F890" s="16" t="str" cm="1">
        <f t="array" ref="F890">IF(B890="","",(IF(B890="Compra de estoque","",(_xlfn.IFS(AND(B890="Venda de produtos",H890="Sul/Sudeste"),(VLOOKUP(C890,Tabela1[#All],9,0)*E890),AND(B890="Venda de produtos",H890="Nordeste"),(VLOOKUP(C890,Tabela1[#All],11,0)*E890),AND("Venda de produtos",H890="Norte/Centro-Oeste"),(VLOOKUP(C890,Tabela1[#All],13,0)*E890))))))</f>
        <v/>
      </c>
      <c r="G890" s="16" t="str">
        <f>IF(B890="Compra de estoque",VLOOKUP(C890,Tabela1[#All],4,0)*E890,"")</f>
        <v/>
      </c>
      <c r="H890" s="16"/>
    </row>
    <row r="891" spans="1:8" x14ac:dyDescent="0.25">
      <c r="A891" s="14" t="str">
        <f t="shared" ca="1" si="13"/>
        <v/>
      </c>
      <c r="D891" s="15" t="str">
        <f>IF(C891="","",VLOOKUP(C891,Tabela1[#All],2,0))</f>
        <v/>
      </c>
      <c r="F891" s="16" t="str" cm="1">
        <f t="array" ref="F891">IF(B891="","",(IF(B891="Compra de estoque","",(_xlfn.IFS(AND(B891="Venda de produtos",H891="Sul/Sudeste"),(VLOOKUP(C891,Tabela1[#All],9,0)*E891),AND(B891="Venda de produtos",H891="Nordeste"),(VLOOKUP(C891,Tabela1[#All],11,0)*E891),AND("Venda de produtos",H891="Norte/Centro-Oeste"),(VLOOKUP(C891,Tabela1[#All],13,0)*E891))))))</f>
        <v/>
      </c>
      <c r="G891" s="16" t="str">
        <f>IF(B891="Compra de estoque",VLOOKUP(C891,Tabela1[#All],4,0)*E891,"")</f>
        <v/>
      </c>
      <c r="H891" s="16"/>
    </row>
    <row r="892" spans="1:8" x14ac:dyDescent="0.25">
      <c r="A892" s="14" t="str">
        <f t="shared" ca="1" si="13"/>
        <v/>
      </c>
      <c r="D892" s="15" t="str">
        <f>IF(C892="","",VLOOKUP(C892,Tabela1[#All],2,0))</f>
        <v/>
      </c>
      <c r="F892" s="16" t="str" cm="1">
        <f t="array" ref="F892">IF(B892="","",(IF(B892="Compra de estoque","",(_xlfn.IFS(AND(B892="Venda de produtos",H892="Sul/Sudeste"),(VLOOKUP(C892,Tabela1[#All],9,0)*E892),AND(B892="Venda de produtos",H892="Nordeste"),(VLOOKUP(C892,Tabela1[#All],11,0)*E892),AND("Venda de produtos",H892="Norte/Centro-Oeste"),(VLOOKUP(C892,Tabela1[#All],13,0)*E892))))))</f>
        <v/>
      </c>
      <c r="G892" s="16" t="str">
        <f>IF(B892="Compra de estoque",VLOOKUP(C892,Tabela1[#All],4,0)*E892,"")</f>
        <v/>
      </c>
      <c r="H892" s="16"/>
    </row>
    <row r="893" spans="1:8" x14ac:dyDescent="0.25">
      <c r="A893" s="14" t="str">
        <f t="shared" ca="1" si="13"/>
        <v/>
      </c>
      <c r="D893" s="15" t="str">
        <f>IF(C893="","",VLOOKUP(C893,Tabela1[#All],2,0))</f>
        <v/>
      </c>
      <c r="F893" s="16" t="str" cm="1">
        <f t="array" ref="F893">IF(B893="","",(IF(B893="Compra de estoque","",(_xlfn.IFS(AND(B893="Venda de produtos",H893="Sul/Sudeste"),(VLOOKUP(C893,Tabela1[#All],9,0)*E893),AND(B893="Venda de produtos",H893="Nordeste"),(VLOOKUP(C893,Tabela1[#All],11,0)*E893),AND("Venda de produtos",H893="Norte/Centro-Oeste"),(VLOOKUP(C893,Tabela1[#All],13,0)*E893))))))</f>
        <v/>
      </c>
      <c r="G893" s="16" t="str">
        <f>IF(B893="Compra de estoque",VLOOKUP(C893,Tabela1[#All],4,0)*E893,"")</f>
        <v/>
      </c>
      <c r="H893" s="16"/>
    </row>
    <row r="894" spans="1:8" x14ac:dyDescent="0.25">
      <c r="A894" s="14" t="str">
        <f t="shared" ca="1" si="13"/>
        <v/>
      </c>
      <c r="D894" s="15" t="str">
        <f>IF(C894="","",VLOOKUP(C894,Tabela1[#All],2,0))</f>
        <v/>
      </c>
      <c r="F894" s="16" t="str" cm="1">
        <f t="array" ref="F894">IF(B894="","",(IF(B894="Compra de estoque","",(_xlfn.IFS(AND(B894="Venda de produtos",H894="Sul/Sudeste"),(VLOOKUP(C894,Tabela1[#All],9,0)*E894),AND(B894="Venda de produtos",H894="Nordeste"),(VLOOKUP(C894,Tabela1[#All],11,0)*E894),AND("Venda de produtos",H894="Norte/Centro-Oeste"),(VLOOKUP(C894,Tabela1[#All],13,0)*E894))))))</f>
        <v/>
      </c>
      <c r="G894" s="16" t="str">
        <f>IF(B894="Compra de estoque",VLOOKUP(C894,Tabela1[#All],4,0)*E894,"")</f>
        <v/>
      </c>
      <c r="H894" s="16"/>
    </row>
    <row r="895" spans="1:8" x14ac:dyDescent="0.25">
      <c r="A895" s="14" t="str">
        <f t="shared" ca="1" si="13"/>
        <v/>
      </c>
      <c r="D895" s="15" t="str">
        <f>IF(C895="","",VLOOKUP(C895,Tabela1[#All],2,0))</f>
        <v/>
      </c>
      <c r="F895" s="16" t="str" cm="1">
        <f t="array" ref="F895">IF(B895="","",(IF(B895="Compra de estoque","",(_xlfn.IFS(AND(B895="Venda de produtos",H895="Sul/Sudeste"),(VLOOKUP(C895,Tabela1[#All],9,0)*E895),AND(B895="Venda de produtos",H895="Nordeste"),(VLOOKUP(C895,Tabela1[#All],11,0)*E895),AND("Venda de produtos",H895="Norte/Centro-Oeste"),(VLOOKUP(C895,Tabela1[#All],13,0)*E895))))))</f>
        <v/>
      </c>
      <c r="G895" s="16" t="str">
        <f>IF(B895="Compra de estoque",VLOOKUP(C895,Tabela1[#All],4,0)*E895,"")</f>
        <v/>
      </c>
      <c r="H895" s="16"/>
    </row>
    <row r="896" spans="1:8" x14ac:dyDescent="0.25">
      <c r="A896" s="14" t="str">
        <f t="shared" ca="1" si="13"/>
        <v/>
      </c>
      <c r="D896" s="15" t="str">
        <f>IF(C896="","",VLOOKUP(C896,Tabela1[#All],2,0))</f>
        <v/>
      </c>
      <c r="F896" s="16" t="str" cm="1">
        <f t="array" ref="F896">IF(B896="","",(IF(B896="Compra de estoque","",(_xlfn.IFS(AND(B896="Venda de produtos",H896="Sul/Sudeste"),(VLOOKUP(C896,Tabela1[#All],9,0)*E896),AND(B896="Venda de produtos",H896="Nordeste"),(VLOOKUP(C896,Tabela1[#All],11,0)*E896),AND("Venda de produtos",H896="Norte/Centro-Oeste"),(VLOOKUP(C896,Tabela1[#All],13,0)*E896))))))</f>
        <v/>
      </c>
      <c r="G896" s="16" t="str">
        <f>IF(B896="Compra de estoque",VLOOKUP(C896,Tabela1[#All],4,0)*E896,"")</f>
        <v/>
      </c>
      <c r="H896" s="16"/>
    </row>
    <row r="897" spans="1:8" x14ac:dyDescent="0.25">
      <c r="A897" s="14" t="str">
        <f t="shared" ca="1" si="13"/>
        <v/>
      </c>
      <c r="D897" s="15" t="str">
        <f>IF(C897="","",VLOOKUP(C897,Tabela1[#All],2,0))</f>
        <v/>
      </c>
      <c r="F897" s="16" t="str" cm="1">
        <f t="array" ref="F897">IF(B897="","",(IF(B897="Compra de estoque","",(_xlfn.IFS(AND(B897="Venda de produtos",H897="Sul/Sudeste"),(VLOOKUP(C897,Tabela1[#All],9,0)*E897),AND(B897="Venda de produtos",H897="Nordeste"),(VLOOKUP(C897,Tabela1[#All],11,0)*E897),AND("Venda de produtos",H897="Norte/Centro-Oeste"),(VLOOKUP(C897,Tabela1[#All],13,0)*E897))))))</f>
        <v/>
      </c>
      <c r="G897" s="16" t="str">
        <f>IF(B897="Compra de estoque",VLOOKUP(C897,Tabela1[#All],4,0)*E897,"")</f>
        <v/>
      </c>
      <c r="H897" s="16"/>
    </row>
    <row r="898" spans="1:8" x14ac:dyDescent="0.25">
      <c r="A898" s="14" t="str">
        <f t="shared" ca="1" si="13"/>
        <v/>
      </c>
      <c r="D898" s="15" t="str">
        <f>IF(C898="","",VLOOKUP(C898,Tabela1[#All],2,0))</f>
        <v/>
      </c>
      <c r="F898" s="16" t="str" cm="1">
        <f t="array" ref="F898">IF(B898="","",(IF(B898="Compra de estoque","",(_xlfn.IFS(AND(B898="Venda de produtos",H898="Sul/Sudeste"),(VLOOKUP(C898,Tabela1[#All],9,0)*E898),AND(B898="Venda de produtos",H898="Nordeste"),(VLOOKUP(C898,Tabela1[#All],11,0)*E898),AND("Venda de produtos",H898="Norte/Centro-Oeste"),(VLOOKUP(C898,Tabela1[#All],13,0)*E898))))))</f>
        <v/>
      </c>
      <c r="G898" s="16" t="str">
        <f>IF(B898="Compra de estoque",VLOOKUP(C898,Tabela1[#All],4,0)*E898,"")</f>
        <v/>
      </c>
      <c r="H898" s="16"/>
    </row>
    <row r="899" spans="1:8" x14ac:dyDescent="0.25">
      <c r="A899" s="14" t="str">
        <f t="shared" ref="A899:A962" ca="1" si="14">IF(C899="","",NOW())</f>
        <v/>
      </c>
      <c r="D899" s="15" t="str">
        <f>IF(C899="","",VLOOKUP(C899,Tabela1[#All],2,0))</f>
        <v/>
      </c>
      <c r="F899" s="16" t="str" cm="1">
        <f t="array" ref="F899">IF(B899="","",(IF(B899="Compra de estoque","",(_xlfn.IFS(AND(B899="Venda de produtos",H899="Sul/Sudeste"),(VLOOKUP(C899,Tabela1[#All],9,0)*E899),AND(B899="Venda de produtos",H899="Nordeste"),(VLOOKUP(C899,Tabela1[#All],11,0)*E899),AND("Venda de produtos",H899="Norte/Centro-Oeste"),(VLOOKUP(C899,Tabela1[#All],13,0)*E899))))))</f>
        <v/>
      </c>
      <c r="G899" s="16" t="str">
        <f>IF(B899="Compra de estoque",VLOOKUP(C899,Tabela1[#All],4,0)*E899,"")</f>
        <v/>
      </c>
      <c r="H899" s="16"/>
    </row>
    <row r="900" spans="1:8" x14ac:dyDescent="0.25">
      <c r="A900" s="14" t="str">
        <f t="shared" ca="1" si="14"/>
        <v/>
      </c>
      <c r="D900" s="15" t="str">
        <f>IF(C900="","",VLOOKUP(C900,Tabela1[#All],2,0))</f>
        <v/>
      </c>
      <c r="F900" s="16" t="str" cm="1">
        <f t="array" ref="F900">IF(B900="","",(IF(B900="Compra de estoque","",(_xlfn.IFS(AND(B900="Venda de produtos",H900="Sul/Sudeste"),(VLOOKUP(C900,Tabela1[#All],9,0)*E900),AND(B900="Venda de produtos",H900="Nordeste"),(VLOOKUP(C900,Tabela1[#All],11,0)*E900),AND("Venda de produtos",H900="Norte/Centro-Oeste"),(VLOOKUP(C900,Tabela1[#All],13,0)*E900))))))</f>
        <v/>
      </c>
      <c r="G900" s="16" t="str">
        <f>IF(B900="Compra de estoque",VLOOKUP(C900,Tabela1[#All],4,0)*E900,"")</f>
        <v/>
      </c>
      <c r="H900" s="16"/>
    </row>
    <row r="901" spans="1:8" x14ac:dyDescent="0.25">
      <c r="A901" s="14" t="str">
        <f t="shared" ca="1" si="14"/>
        <v/>
      </c>
      <c r="D901" s="15" t="str">
        <f>IF(C901="","",VLOOKUP(C901,Tabela1[#All],2,0))</f>
        <v/>
      </c>
      <c r="F901" s="16" t="str" cm="1">
        <f t="array" ref="F901">IF(B901="","",(IF(B901="Compra de estoque","",(_xlfn.IFS(AND(B901="Venda de produtos",H901="Sul/Sudeste"),(VLOOKUP(C901,Tabela1[#All],9,0)*E901),AND(B901="Venda de produtos",H901="Nordeste"),(VLOOKUP(C901,Tabela1[#All],11,0)*E901),AND("Venda de produtos",H901="Norte/Centro-Oeste"),(VLOOKUP(C901,Tabela1[#All],13,0)*E901))))))</f>
        <v/>
      </c>
      <c r="G901" s="16" t="str">
        <f>IF(B901="Compra de estoque",VLOOKUP(C901,Tabela1[#All],4,0)*E901,"")</f>
        <v/>
      </c>
      <c r="H901" s="16"/>
    </row>
    <row r="902" spans="1:8" x14ac:dyDescent="0.25">
      <c r="A902" s="14" t="str">
        <f t="shared" ca="1" si="14"/>
        <v/>
      </c>
      <c r="D902" s="15" t="str">
        <f>IF(C902="","",VLOOKUP(C902,Tabela1[#All],2,0))</f>
        <v/>
      </c>
      <c r="F902" s="16" t="str" cm="1">
        <f t="array" ref="F902">IF(B902="","",(IF(B902="Compra de estoque","",(_xlfn.IFS(AND(B902="Venda de produtos",H902="Sul/Sudeste"),(VLOOKUP(C902,Tabela1[#All],9,0)*E902),AND(B902="Venda de produtos",H902="Nordeste"),(VLOOKUP(C902,Tabela1[#All],11,0)*E902),AND("Venda de produtos",H902="Norte/Centro-Oeste"),(VLOOKUP(C902,Tabela1[#All],13,0)*E902))))))</f>
        <v/>
      </c>
      <c r="G902" s="16" t="str">
        <f>IF(B902="Compra de estoque",VLOOKUP(C902,Tabela1[#All],4,0)*E902,"")</f>
        <v/>
      </c>
      <c r="H902" s="16"/>
    </row>
    <row r="903" spans="1:8" x14ac:dyDescent="0.25">
      <c r="A903" s="14" t="str">
        <f t="shared" ca="1" si="14"/>
        <v/>
      </c>
      <c r="D903" s="15" t="str">
        <f>IF(C903="","",VLOOKUP(C903,Tabela1[#All],2,0))</f>
        <v/>
      </c>
      <c r="F903" s="16" t="str" cm="1">
        <f t="array" ref="F903">IF(B903="","",(IF(B903="Compra de estoque","",(_xlfn.IFS(AND(B903="Venda de produtos",H903="Sul/Sudeste"),(VLOOKUP(C903,Tabela1[#All],9,0)*E903),AND(B903="Venda de produtos",H903="Nordeste"),(VLOOKUP(C903,Tabela1[#All],11,0)*E903),AND("Venda de produtos",H903="Norte/Centro-Oeste"),(VLOOKUP(C903,Tabela1[#All],13,0)*E903))))))</f>
        <v/>
      </c>
      <c r="G903" s="16" t="str">
        <f>IF(B903="Compra de estoque",VLOOKUP(C903,Tabela1[#All],4,0)*E903,"")</f>
        <v/>
      </c>
      <c r="H903" s="16"/>
    </row>
    <row r="904" spans="1:8" x14ac:dyDescent="0.25">
      <c r="A904" s="14" t="str">
        <f t="shared" ca="1" si="14"/>
        <v/>
      </c>
      <c r="D904" s="15" t="str">
        <f>IF(C904="","",VLOOKUP(C904,Tabela1[#All],2,0))</f>
        <v/>
      </c>
      <c r="F904" s="16" t="str" cm="1">
        <f t="array" ref="F904">IF(B904="","",(IF(B904="Compra de estoque","",(_xlfn.IFS(AND(B904="Venda de produtos",H904="Sul/Sudeste"),(VLOOKUP(C904,Tabela1[#All],9,0)*E904),AND(B904="Venda de produtos",H904="Nordeste"),(VLOOKUP(C904,Tabela1[#All],11,0)*E904),AND("Venda de produtos",H904="Norte/Centro-Oeste"),(VLOOKUP(C904,Tabela1[#All],13,0)*E904))))))</f>
        <v/>
      </c>
      <c r="G904" s="16" t="str">
        <f>IF(B904="Compra de estoque",VLOOKUP(C904,Tabela1[#All],4,0)*E904,"")</f>
        <v/>
      </c>
      <c r="H904" s="16"/>
    </row>
    <row r="905" spans="1:8" x14ac:dyDescent="0.25">
      <c r="A905" s="14" t="str">
        <f t="shared" ca="1" si="14"/>
        <v/>
      </c>
      <c r="D905" s="15" t="str">
        <f>IF(C905="","",VLOOKUP(C905,Tabela1[#All],2,0))</f>
        <v/>
      </c>
      <c r="F905" s="16" t="str" cm="1">
        <f t="array" ref="F905">IF(B905="","",(IF(B905="Compra de estoque","",(_xlfn.IFS(AND(B905="Venda de produtos",H905="Sul/Sudeste"),(VLOOKUP(C905,Tabela1[#All],9,0)*E905),AND(B905="Venda de produtos",H905="Nordeste"),(VLOOKUP(C905,Tabela1[#All],11,0)*E905),AND("Venda de produtos",H905="Norte/Centro-Oeste"),(VLOOKUP(C905,Tabela1[#All],13,0)*E905))))))</f>
        <v/>
      </c>
      <c r="G905" s="16" t="str">
        <f>IF(B905="Compra de estoque",VLOOKUP(C905,Tabela1[#All],4,0)*E905,"")</f>
        <v/>
      </c>
      <c r="H905" s="16"/>
    </row>
    <row r="906" spans="1:8" x14ac:dyDescent="0.25">
      <c r="A906" s="14" t="str">
        <f t="shared" ca="1" si="14"/>
        <v/>
      </c>
      <c r="D906" s="15" t="str">
        <f>IF(C906="","",VLOOKUP(C906,Tabela1[#All],2,0))</f>
        <v/>
      </c>
      <c r="F906" s="16" t="str" cm="1">
        <f t="array" ref="F906">IF(B906="","",(IF(B906="Compra de estoque","",(_xlfn.IFS(AND(B906="Venda de produtos",H906="Sul/Sudeste"),(VLOOKUP(C906,Tabela1[#All],9,0)*E906),AND(B906="Venda de produtos",H906="Nordeste"),(VLOOKUP(C906,Tabela1[#All],11,0)*E906),AND("Venda de produtos",H906="Norte/Centro-Oeste"),(VLOOKUP(C906,Tabela1[#All],13,0)*E906))))))</f>
        <v/>
      </c>
      <c r="G906" s="16" t="str">
        <f>IF(B906="Compra de estoque",VLOOKUP(C906,Tabela1[#All],4,0)*E906,"")</f>
        <v/>
      </c>
      <c r="H906" s="16"/>
    </row>
    <row r="907" spans="1:8" x14ac:dyDescent="0.25">
      <c r="A907" s="14" t="str">
        <f t="shared" ca="1" si="14"/>
        <v/>
      </c>
      <c r="D907" s="15" t="str">
        <f>IF(C907="","",VLOOKUP(C907,Tabela1[#All],2,0))</f>
        <v/>
      </c>
      <c r="F907" s="16" t="str" cm="1">
        <f t="array" ref="F907">IF(B907="","",(IF(B907="Compra de estoque","",(_xlfn.IFS(AND(B907="Venda de produtos",H907="Sul/Sudeste"),(VLOOKUP(C907,Tabela1[#All],9,0)*E907),AND(B907="Venda de produtos",H907="Nordeste"),(VLOOKUP(C907,Tabela1[#All],11,0)*E907),AND("Venda de produtos",H907="Norte/Centro-Oeste"),(VLOOKUP(C907,Tabela1[#All],13,0)*E907))))))</f>
        <v/>
      </c>
      <c r="G907" s="16" t="str">
        <f>IF(B907="Compra de estoque",VLOOKUP(C907,Tabela1[#All],4,0)*E907,"")</f>
        <v/>
      </c>
      <c r="H907" s="16"/>
    </row>
    <row r="908" spans="1:8" x14ac:dyDescent="0.25">
      <c r="A908" s="14" t="str">
        <f t="shared" ca="1" si="14"/>
        <v/>
      </c>
      <c r="D908" s="15" t="str">
        <f>IF(C908="","",VLOOKUP(C908,Tabela1[#All],2,0))</f>
        <v/>
      </c>
      <c r="F908" s="16" t="str" cm="1">
        <f t="array" ref="F908">IF(B908="","",(IF(B908="Compra de estoque","",(_xlfn.IFS(AND(B908="Venda de produtos",H908="Sul/Sudeste"),(VLOOKUP(C908,Tabela1[#All],9,0)*E908),AND(B908="Venda de produtos",H908="Nordeste"),(VLOOKUP(C908,Tabela1[#All],11,0)*E908),AND("Venda de produtos",H908="Norte/Centro-Oeste"),(VLOOKUP(C908,Tabela1[#All],13,0)*E908))))))</f>
        <v/>
      </c>
      <c r="G908" s="16" t="str">
        <f>IF(B908="Compra de estoque",VLOOKUP(C908,Tabela1[#All],4,0)*E908,"")</f>
        <v/>
      </c>
      <c r="H908" s="16"/>
    </row>
    <row r="909" spans="1:8" x14ac:dyDescent="0.25">
      <c r="A909" s="14" t="str">
        <f t="shared" ca="1" si="14"/>
        <v/>
      </c>
      <c r="D909" s="15" t="str">
        <f>IF(C909="","",VLOOKUP(C909,Tabela1[#All],2,0))</f>
        <v/>
      </c>
      <c r="F909" s="16" t="str" cm="1">
        <f t="array" ref="F909">IF(B909="","",(IF(B909="Compra de estoque","",(_xlfn.IFS(AND(B909="Venda de produtos",H909="Sul/Sudeste"),(VLOOKUP(C909,Tabela1[#All],9,0)*E909),AND(B909="Venda de produtos",H909="Nordeste"),(VLOOKUP(C909,Tabela1[#All],11,0)*E909),AND("Venda de produtos",H909="Norte/Centro-Oeste"),(VLOOKUP(C909,Tabela1[#All],13,0)*E909))))))</f>
        <v/>
      </c>
      <c r="G909" s="16" t="str">
        <f>IF(B909="Compra de estoque",VLOOKUP(C909,Tabela1[#All],4,0)*E909,"")</f>
        <v/>
      </c>
      <c r="H909" s="16"/>
    </row>
    <row r="910" spans="1:8" x14ac:dyDescent="0.25">
      <c r="A910" s="14" t="str">
        <f t="shared" ca="1" si="14"/>
        <v/>
      </c>
      <c r="D910" s="15" t="str">
        <f>IF(C910="","",VLOOKUP(C910,Tabela1[#All],2,0))</f>
        <v/>
      </c>
      <c r="F910" s="16" t="str" cm="1">
        <f t="array" ref="F910">IF(B910="","",(IF(B910="Compra de estoque","",(_xlfn.IFS(AND(B910="Venda de produtos",H910="Sul/Sudeste"),(VLOOKUP(C910,Tabela1[#All],9,0)*E910),AND(B910="Venda de produtos",H910="Nordeste"),(VLOOKUP(C910,Tabela1[#All],11,0)*E910),AND("Venda de produtos",H910="Norte/Centro-Oeste"),(VLOOKUP(C910,Tabela1[#All],13,0)*E910))))))</f>
        <v/>
      </c>
      <c r="G910" s="16" t="str">
        <f>IF(B910="Compra de estoque",VLOOKUP(C910,Tabela1[#All],4,0)*E910,"")</f>
        <v/>
      </c>
      <c r="H910" s="16"/>
    </row>
    <row r="911" spans="1:8" x14ac:dyDescent="0.25">
      <c r="A911" s="14" t="str">
        <f t="shared" ca="1" si="14"/>
        <v/>
      </c>
      <c r="D911" s="15" t="str">
        <f>IF(C911="","",VLOOKUP(C911,Tabela1[#All],2,0))</f>
        <v/>
      </c>
      <c r="F911" s="16" t="str" cm="1">
        <f t="array" ref="F911">IF(B911="","",(IF(B911="Compra de estoque","",(_xlfn.IFS(AND(B911="Venda de produtos",H911="Sul/Sudeste"),(VLOOKUP(C911,Tabela1[#All],9,0)*E911),AND(B911="Venda de produtos",H911="Nordeste"),(VLOOKUP(C911,Tabela1[#All],11,0)*E911),AND("Venda de produtos",H911="Norte/Centro-Oeste"),(VLOOKUP(C911,Tabela1[#All],13,0)*E911))))))</f>
        <v/>
      </c>
      <c r="G911" s="16" t="str">
        <f>IF(B911="Compra de estoque",VLOOKUP(C911,Tabela1[#All],4,0)*E911,"")</f>
        <v/>
      </c>
      <c r="H911" s="16"/>
    </row>
    <row r="912" spans="1:8" x14ac:dyDescent="0.25">
      <c r="A912" s="14" t="str">
        <f t="shared" ca="1" si="14"/>
        <v/>
      </c>
      <c r="D912" s="15" t="str">
        <f>IF(C912="","",VLOOKUP(C912,Tabela1[#All],2,0))</f>
        <v/>
      </c>
      <c r="F912" s="16" t="str" cm="1">
        <f t="array" ref="F912">IF(B912="","",(IF(B912="Compra de estoque","",(_xlfn.IFS(AND(B912="Venda de produtos",H912="Sul/Sudeste"),(VLOOKUP(C912,Tabela1[#All],9,0)*E912),AND(B912="Venda de produtos",H912="Nordeste"),(VLOOKUP(C912,Tabela1[#All],11,0)*E912),AND("Venda de produtos",H912="Norte/Centro-Oeste"),(VLOOKUP(C912,Tabela1[#All],13,0)*E912))))))</f>
        <v/>
      </c>
      <c r="G912" s="16" t="str">
        <f>IF(B912="Compra de estoque",VLOOKUP(C912,Tabela1[#All],4,0)*E912,"")</f>
        <v/>
      </c>
      <c r="H912" s="16"/>
    </row>
    <row r="913" spans="1:8" x14ac:dyDescent="0.25">
      <c r="A913" s="14" t="str">
        <f t="shared" ca="1" si="14"/>
        <v/>
      </c>
      <c r="D913" s="15" t="str">
        <f>IF(C913="","",VLOOKUP(C913,Tabela1[#All],2,0))</f>
        <v/>
      </c>
      <c r="F913" s="16" t="str" cm="1">
        <f t="array" ref="F913">IF(B913="","",(IF(B913="Compra de estoque","",(_xlfn.IFS(AND(B913="Venda de produtos",H913="Sul/Sudeste"),(VLOOKUP(C913,Tabela1[#All],9,0)*E913),AND(B913="Venda de produtos",H913="Nordeste"),(VLOOKUP(C913,Tabela1[#All],11,0)*E913),AND("Venda de produtos",H913="Norte/Centro-Oeste"),(VLOOKUP(C913,Tabela1[#All],13,0)*E913))))))</f>
        <v/>
      </c>
      <c r="G913" s="16" t="str">
        <f>IF(B913="Compra de estoque",VLOOKUP(C913,Tabela1[#All],4,0)*E913,"")</f>
        <v/>
      </c>
      <c r="H913" s="16"/>
    </row>
    <row r="914" spans="1:8" x14ac:dyDescent="0.25">
      <c r="A914" s="14" t="str">
        <f t="shared" ca="1" si="14"/>
        <v/>
      </c>
      <c r="D914" s="15" t="str">
        <f>IF(C914="","",VLOOKUP(C914,Tabela1[#All],2,0))</f>
        <v/>
      </c>
      <c r="F914" s="16" t="str" cm="1">
        <f t="array" ref="F914">IF(B914="","",(IF(B914="Compra de estoque","",(_xlfn.IFS(AND(B914="Venda de produtos",H914="Sul/Sudeste"),(VLOOKUP(C914,Tabela1[#All],9,0)*E914),AND(B914="Venda de produtos",H914="Nordeste"),(VLOOKUP(C914,Tabela1[#All],11,0)*E914),AND("Venda de produtos",H914="Norte/Centro-Oeste"),(VLOOKUP(C914,Tabela1[#All],13,0)*E914))))))</f>
        <v/>
      </c>
      <c r="G914" s="16" t="str">
        <f>IF(B914="Compra de estoque",VLOOKUP(C914,Tabela1[#All],4,0)*E914,"")</f>
        <v/>
      </c>
      <c r="H914" s="16"/>
    </row>
    <row r="915" spans="1:8" x14ac:dyDescent="0.25">
      <c r="A915" s="14" t="str">
        <f t="shared" ca="1" si="14"/>
        <v/>
      </c>
      <c r="D915" s="15" t="str">
        <f>IF(C915="","",VLOOKUP(C915,Tabela1[#All],2,0))</f>
        <v/>
      </c>
      <c r="F915" s="16" t="str" cm="1">
        <f t="array" ref="F915">IF(B915="","",(IF(B915="Compra de estoque","",(_xlfn.IFS(AND(B915="Venda de produtos",H915="Sul/Sudeste"),(VLOOKUP(C915,Tabela1[#All],9,0)*E915),AND(B915="Venda de produtos",H915="Nordeste"),(VLOOKUP(C915,Tabela1[#All],11,0)*E915),AND("Venda de produtos",H915="Norte/Centro-Oeste"),(VLOOKUP(C915,Tabela1[#All],13,0)*E915))))))</f>
        <v/>
      </c>
      <c r="G915" s="16" t="str">
        <f>IF(B915="Compra de estoque",VLOOKUP(C915,Tabela1[#All],4,0)*E915,"")</f>
        <v/>
      </c>
      <c r="H915" s="16"/>
    </row>
    <row r="916" spans="1:8" x14ac:dyDescent="0.25">
      <c r="A916" s="14" t="str">
        <f t="shared" ca="1" si="14"/>
        <v/>
      </c>
      <c r="D916" s="15" t="str">
        <f>IF(C916="","",VLOOKUP(C916,Tabela1[#All],2,0))</f>
        <v/>
      </c>
      <c r="F916" s="16" t="str" cm="1">
        <f t="array" ref="F916">IF(B916="","",(IF(B916="Compra de estoque","",(_xlfn.IFS(AND(B916="Venda de produtos",H916="Sul/Sudeste"),(VLOOKUP(C916,Tabela1[#All],9,0)*E916),AND(B916="Venda de produtos",H916="Nordeste"),(VLOOKUP(C916,Tabela1[#All],11,0)*E916),AND("Venda de produtos",H916="Norte/Centro-Oeste"),(VLOOKUP(C916,Tabela1[#All],13,0)*E916))))))</f>
        <v/>
      </c>
      <c r="G916" s="16" t="str">
        <f>IF(B916="Compra de estoque",VLOOKUP(C916,Tabela1[#All],4,0)*E916,"")</f>
        <v/>
      </c>
      <c r="H916" s="16"/>
    </row>
    <row r="917" spans="1:8" x14ac:dyDescent="0.25">
      <c r="A917" s="14" t="str">
        <f t="shared" ca="1" si="14"/>
        <v/>
      </c>
      <c r="D917" s="15" t="str">
        <f>IF(C917="","",VLOOKUP(C917,Tabela1[#All],2,0))</f>
        <v/>
      </c>
      <c r="F917" s="16" t="str" cm="1">
        <f t="array" ref="F917">IF(B917="","",(IF(B917="Compra de estoque","",(_xlfn.IFS(AND(B917="Venda de produtos",H917="Sul/Sudeste"),(VLOOKUP(C917,Tabela1[#All],9,0)*E917),AND(B917="Venda de produtos",H917="Nordeste"),(VLOOKUP(C917,Tabela1[#All],11,0)*E917),AND("Venda de produtos",H917="Norte/Centro-Oeste"),(VLOOKUP(C917,Tabela1[#All],13,0)*E917))))))</f>
        <v/>
      </c>
      <c r="G917" s="16" t="str">
        <f>IF(B917="Compra de estoque",VLOOKUP(C917,Tabela1[#All],4,0)*E917,"")</f>
        <v/>
      </c>
      <c r="H917" s="16"/>
    </row>
    <row r="918" spans="1:8" x14ac:dyDescent="0.25">
      <c r="A918" s="14" t="str">
        <f t="shared" ca="1" si="14"/>
        <v/>
      </c>
      <c r="D918" s="15" t="str">
        <f>IF(C918="","",VLOOKUP(C918,Tabela1[#All],2,0))</f>
        <v/>
      </c>
      <c r="F918" s="16" t="str" cm="1">
        <f t="array" ref="F918">IF(B918="","",(IF(B918="Compra de estoque","",(_xlfn.IFS(AND(B918="Venda de produtos",H918="Sul/Sudeste"),(VLOOKUP(C918,Tabela1[#All],9,0)*E918),AND(B918="Venda de produtos",H918="Nordeste"),(VLOOKUP(C918,Tabela1[#All],11,0)*E918),AND("Venda de produtos",H918="Norte/Centro-Oeste"),(VLOOKUP(C918,Tabela1[#All],13,0)*E918))))))</f>
        <v/>
      </c>
      <c r="G918" s="16" t="str">
        <f>IF(B918="Compra de estoque",VLOOKUP(C918,Tabela1[#All],4,0)*E918,"")</f>
        <v/>
      </c>
      <c r="H918" s="16"/>
    </row>
    <row r="919" spans="1:8" x14ac:dyDescent="0.25">
      <c r="A919" s="14" t="str">
        <f t="shared" ca="1" si="14"/>
        <v/>
      </c>
      <c r="D919" s="15" t="str">
        <f>IF(C919="","",VLOOKUP(C919,Tabela1[#All],2,0))</f>
        <v/>
      </c>
      <c r="F919" s="16" t="str" cm="1">
        <f t="array" ref="F919">IF(B919="","",(IF(B919="Compra de estoque","",(_xlfn.IFS(AND(B919="Venda de produtos",H919="Sul/Sudeste"),(VLOOKUP(C919,Tabela1[#All],9,0)*E919),AND(B919="Venda de produtos",H919="Nordeste"),(VLOOKUP(C919,Tabela1[#All],11,0)*E919),AND("Venda de produtos",H919="Norte/Centro-Oeste"),(VLOOKUP(C919,Tabela1[#All],13,0)*E919))))))</f>
        <v/>
      </c>
      <c r="G919" s="16" t="str">
        <f>IF(B919="Compra de estoque",VLOOKUP(C919,Tabela1[#All],4,0)*E919,"")</f>
        <v/>
      </c>
      <c r="H919" s="16"/>
    </row>
    <row r="920" spans="1:8" x14ac:dyDescent="0.25">
      <c r="A920" s="14" t="str">
        <f t="shared" ca="1" si="14"/>
        <v/>
      </c>
      <c r="D920" s="15" t="str">
        <f>IF(C920="","",VLOOKUP(C920,Tabela1[#All],2,0))</f>
        <v/>
      </c>
      <c r="F920" s="16" t="str" cm="1">
        <f t="array" ref="F920">IF(B920="","",(IF(B920="Compra de estoque","",(_xlfn.IFS(AND(B920="Venda de produtos",H920="Sul/Sudeste"),(VLOOKUP(C920,Tabela1[#All],9,0)*E920),AND(B920="Venda de produtos",H920="Nordeste"),(VLOOKUP(C920,Tabela1[#All],11,0)*E920),AND("Venda de produtos",H920="Norte/Centro-Oeste"),(VLOOKUP(C920,Tabela1[#All],13,0)*E920))))))</f>
        <v/>
      </c>
      <c r="G920" s="16" t="str">
        <f>IF(B920="Compra de estoque",VLOOKUP(C920,Tabela1[#All],4,0)*E920,"")</f>
        <v/>
      </c>
      <c r="H920" s="16"/>
    </row>
    <row r="921" spans="1:8" x14ac:dyDescent="0.25">
      <c r="A921" s="14" t="str">
        <f t="shared" ca="1" si="14"/>
        <v/>
      </c>
      <c r="D921" s="15" t="str">
        <f>IF(C921="","",VLOOKUP(C921,Tabela1[#All],2,0))</f>
        <v/>
      </c>
      <c r="F921" s="16" t="str" cm="1">
        <f t="array" ref="F921">IF(B921="","",(IF(B921="Compra de estoque","",(_xlfn.IFS(AND(B921="Venda de produtos",H921="Sul/Sudeste"),(VLOOKUP(C921,Tabela1[#All],9,0)*E921),AND(B921="Venda de produtos",H921="Nordeste"),(VLOOKUP(C921,Tabela1[#All],11,0)*E921),AND("Venda de produtos",H921="Norte/Centro-Oeste"),(VLOOKUP(C921,Tabela1[#All],13,0)*E921))))))</f>
        <v/>
      </c>
      <c r="G921" s="16" t="str">
        <f>IF(B921="Compra de estoque",VLOOKUP(C921,Tabela1[#All],4,0)*E921,"")</f>
        <v/>
      </c>
      <c r="H921" s="16"/>
    </row>
    <row r="922" spans="1:8" x14ac:dyDescent="0.25">
      <c r="A922" s="14" t="str">
        <f t="shared" ca="1" si="14"/>
        <v/>
      </c>
      <c r="D922" s="15" t="str">
        <f>IF(C922="","",VLOOKUP(C922,Tabela1[#All],2,0))</f>
        <v/>
      </c>
      <c r="F922" s="16" t="str" cm="1">
        <f t="array" ref="F922">IF(B922="","",(IF(B922="Compra de estoque","",(_xlfn.IFS(AND(B922="Venda de produtos",H922="Sul/Sudeste"),(VLOOKUP(C922,Tabela1[#All],9,0)*E922),AND(B922="Venda de produtos",H922="Nordeste"),(VLOOKUP(C922,Tabela1[#All],11,0)*E922),AND("Venda de produtos",H922="Norte/Centro-Oeste"),(VLOOKUP(C922,Tabela1[#All],13,0)*E922))))))</f>
        <v/>
      </c>
      <c r="G922" s="16" t="str">
        <f>IF(B922="Compra de estoque",VLOOKUP(C922,Tabela1[#All],4,0)*E922,"")</f>
        <v/>
      </c>
      <c r="H922" s="16"/>
    </row>
    <row r="923" spans="1:8" x14ac:dyDescent="0.25">
      <c r="A923" s="14" t="str">
        <f t="shared" ca="1" si="14"/>
        <v/>
      </c>
      <c r="D923" s="15" t="str">
        <f>IF(C923="","",VLOOKUP(C923,Tabela1[#All],2,0))</f>
        <v/>
      </c>
      <c r="F923" s="16" t="str" cm="1">
        <f t="array" ref="F923">IF(B923="","",(IF(B923="Compra de estoque","",(_xlfn.IFS(AND(B923="Venda de produtos",H923="Sul/Sudeste"),(VLOOKUP(C923,Tabela1[#All],9,0)*E923),AND(B923="Venda de produtos",H923="Nordeste"),(VLOOKUP(C923,Tabela1[#All],11,0)*E923),AND("Venda de produtos",H923="Norte/Centro-Oeste"),(VLOOKUP(C923,Tabela1[#All],13,0)*E923))))))</f>
        <v/>
      </c>
      <c r="G923" s="16" t="str">
        <f>IF(B923="Compra de estoque",VLOOKUP(C923,Tabela1[#All],4,0)*E923,"")</f>
        <v/>
      </c>
      <c r="H923" s="16"/>
    </row>
    <row r="924" spans="1:8" x14ac:dyDescent="0.25">
      <c r="A924" s="14" t="str">
        <f t="shared" ca="1" si="14"/>
        <v/>
      </c>
      <c r="D924" s="15" t="str">
        <f>IF(C924="","",VLOOKUP(C924,Tabela1[#All],2,0))</f>
        <v/>
      </c>
      <c r="F924" s="16" t="str" cm="1">
        <f t="array" ref="F924">IF(B924="","",(IF(B924="Compra de estoque","",(_xlfn.IFS(AND(B924="Venda de produtos",H924="Sul/Sudeste"),(VLOOKUP(C924,Tabela1[#All],9,0)*E924),AND(B924="Venda de produtos",H924="Nordeste"),(VLOOKUP(C924,Tabela1[#All],11,0)*E924),AND("Venda de produtos",H924="Norte/Centro-Oeste"),(VLOOKUP(C924,Tabela1[#All],13,0)*E924))))))</f>
        <v/>
      </c>
      <c r="G924" s="16" t="str">
        <f>IF(B924="Compra de estoque",VLOOKUP(C924,Tabela1[#All],4,0)*E924,"")</f>
        <v/>
      </c>
      <c r="H924" s="16"/>
    </row>
    <row r="925" spans="1:8" x14ac:dyDescent="0.25">
      <c r="A925" s="14" t="str">
        <f t="shared" ca="1" si="14"/>
        <v/>
      </c>
      <c r="D925" s="15" t="str">
        <f>IF(C925="","",VLOOKUP(C925,Tabela1[#All],2,0))</f>
        <v/>
      </c>
      <c r="F925" s="16" t="str" cm="1">
        <f t="array" ref="F925">IF(B925="","",(IF(B925="Compra de estoque","",(_xlfn.IFS(AND(B925="Venda de produtos",H925="Sul/Sudeste"),(VLOOKUP(C925,Tabela1[#All],9,0)*E925),AND(B925="Venda de produtos",H925="Nordeste"),(VLOOKUP(C925,Tabela1[#All],11,0)*E925),AND("Venda de produtos",H925="Norte/Centro-Oeste"),(VLOOKUP(C925,Tabela1[#All],13,0)*E925))))))</f>
        <v/>
      </c>
      <c r="G925" s="16" t="str">
        <f>IF(B925="Compra de estoque",VLOOKUP(C925,Tabela1[#All],4,0)*E925,"")</f>
        <v/>
      </c>
      <c r="H925" s="16"/>
    </row>
    <row r="926" spans="1:8" x14ac:dyDescent="0.25">
      <c r="A926" s="14" t="str">
        <f t="shared" ca="1" si="14"/>
        <v/>
      </c>
      <c r="D926" s="15" t="str">
        <f>IF(C926="","",VLOOKUP(C926,Tabela1[#All],2,0))</f>
        <v/>
      </c>
      <c r="F926" s="16" t="str" cm="1">
        <f t="array" ref="F926">IF(B926="","",(IF(B926="Compra de estoque","",(_xlfn.IFS(AND(B926="Venda de produtos",H926="Sul/Sudeste"),(VLOOKUP(C926,Tabela1[#All],9,0)*E926),AND(B926="Venda de produtos",H926="Nordeste"),(VLOOKUP(C926,Tabela1[#All],11,0)*E926),AND("Venda de produtos",H926="Norte/Centro-Oeste"),(VLOOKUP(C926,Tabela1[#All],13,0)*E926))))))</f>
        <v/>
      </c>
      <c r="G926" s="16" t="str">
        <f>IF(B926="Compra de estoque",VLOOKUP(C926,Tabela1[#All],4,0)*E926,"")</f>
        <v/>
      </c>
      <c r="H926" s="16"/>
    </row>
    <row r="927" spans="1:8" x14ac:dyDescent="0.25">
      <c r="A927" s="14" t="str">
        <f t="shared" ca="1" si="14"/>
        <v/>
      </c>
      <c r="D927" s="15" t="str">
        <f>IF(C927="","",VLOOKUP(C927,Tabela1[#All],2,0))</f>
        <v/>
      </c>
      <c r="F927" s="16" t="str" cm="1">
        <f t="array" ref="F927">IF(B927="","",(IF(B927="Compra de estoque","",(_xlfn.IFS(AND(B927="Venda de produtos",H927="Sul/Sudeste"),(VLOOKUP(C927,Tabela1[#All],9,0)*E927),AND(B927="Venda de produtos",H927="Nordeste"),(VLOOKUP(C927,Tabela1[#All],11,0)*E927),AND("Venda de produtos",H927="Norte/Centro-Oeste"),(VLOOKUP(C927,Tabela1[#All],13,0)*E927))))))</f>
        <v/>
      </c>
      <c r="G927" s="16" t="str">
        <f>IF(B927="Compra de estoque",VLOOKUP(C927,Tabela1[#All],4,0)*E927,"")</f>
        <v/>
      </c>
      <c r="H927" s="16"/>
    </row>
    <row r="928" spans="1:8" x14ac:dyDescent="0.25">
      <c r="A928" s="14" t="str">
        <f t="shared" ca="1" si="14"/>
        <v/>
      </c>
      <c r="D928" s="15" t="str">
        <f>IF(C928="","",VLOOKUP(C928,Tabela1[#All],2,0))</f>
        <v/>
      </c>
      <c r="F928" s="16" t="str" cm="1">
        <f t="array" ref="F928">IF(B928="","",(IF(B928="Compra de estoque","",(_xlfn.IFS(AND(B928="Venda de produtos",H928="Sul/Sudeste"),(VLOOKUP(C928,Tabela1[#All],9,0)*E928),AND(B928="Venda de produtos",H928="Nordeste"),(VLOOKUP(C928,Tabela1[#All],11,0)*E928),AND("Venda de produtos",H928="Norte/Centro-Oeste"),(VLOOKUP(C928,Tabela1[#All],13,0)*E928))))))</f>
        <v/>
      </c>
      <c r="G928" s="16" t="str">
        <f>IF(B928="Compra de estoque",VLOOKUP(C928,Tabela1[#All],4,0)*E928,"")</f>
        <v/>
      </c>
      <c r="H928" s="16"/>
    </row>
    <row r="929" spans="1:8" x14ac:dyDescent="0.25">
      <c r="A929" s="14" t="str">
        <f t="shared" ca="1" si="14"/>
        <v/>
      </c>
      <c r="D929" s="15" t="str">
        <f>IF(C929="","",VLOOKUP(C929,Tabela1[#All],2,0))</f>
        <v/>
      </c>
      <c r="F929" s="16" t="str" cm="1">
        <f t="array" ref="F929">IF(B929="","",(IF(B929="Compra de estoque","",(_xlfn.IFS(AND(B929="Venda de produtos",H929="Sul/Sudeste"),(VLOOKUP(C929,Tabela1[#All],9,0)*E929),AND(B929="Venda de produtos",H929="Nordeste"),(VLOOKUP(C929,Tabela1[#All],11,0)*E929),AND("Venda de produtos",H929="Norte/Centro-Oeste"),(VLOOKUP(C929,Tabela1[#All],13,0)*E929))))))</f>
        <v/>
      </c>
      <c r="G929" s="16" t="str">
        <f>IF(B929="Compra de estoque",VLOOKUP(C929,Tabela1[#All],4,0)*E929,"")</f>
        <v/>
      </c>
      <c r="H929" s="16"/>
    </row>
    <row r="930" spans="1:8" x14ac:dyDescent="0.25">
      <c r="A930" s="14" t="str">
        <f t="shared" ca="1" si="14"/>
        <v/>
      </c>
      <c r="D930" s="15" t="str">
        <f>IF(C930="","",VLOOKUP(C930,Tabela1[#All],2,0))</f>
        <v/>
      </c>
      <c r="F930" s="16" t="str" cm="1">
        <f t="array" ref="F930">IF(B930="","",(IF(B930="Compra de estoque","",(_xlfn.IFS(AND(B930="Venda de produtos",H930="Sul/Sudeste"),(VLOOKUP(C930,Tabela1[#All],9,0)*E930),AND(B930="Venda de produtos",H930="Nordeste"),(VLOOKUP(C930,Tabela1[#All],11,0)*E930),AND("Venda de produtos",H930="Norte/Centro-Oeste"),(VLOOKUP(C930,Tabela1[#All],13,0)*E930))))))</f>
        <v/>
      </c>
      <c r="G930" s="16" t="str">
        <f>IF(B930="Compra de estoque",VLOOKUP(C930,Tabela1[#All],4,0)*E930,"")</f>
        <v/>
      </c>
      <c r="H930" s="16"/>
    </row>
    <row r="931" spans="1:8" x14ac:dyDescent="0.25">
      <c r="A931" s="14" t="str">
        <f t="shared" ca="1" si="14"/>
        <v/>
      </c>
      <c r="D931" s="15" t="str">
        <f>IF(C931="","",VLOOKUP(C931,Tabela1[#All],2,0))</f>
        <v/>
      </c>
      <c r="F931" s="16" t="str" cm="1">
        <f t="array" ref="F931">IF(B931="","",(IF(B931="Compra de estoque","",(_xlfn.IFS(AND(B931="Venda de produtos",H931="Sul/Sudeste"),(VLOOKUP(C931,Tabela1[#All],9,0)*E931),AND(B931="Venda de produtos",H931="Nordeste"),(VLOOKUP(C931,Tabela1[#All],11,0)*E931),AND("Venda de produtos",H931="Norte/Centro-Oeste"),(VLOOKUP(C931,Tabela1[#All],13,0)*E931))))))</f>
        <v/>
      </c>
      <c r="G931" s="16" t="str">
        <f>IF(B931="Compra de estoque",VLOOKUP(C931,Tabela1[#All],4,0)*E931,"")</f>
        <v/>
      </c>
      <c r="H931" s="16"/>
    </row>
    <row r="932" spans="1:8" x14ac:dyDescent="0.25">
      <c r="A932" s="14" t="str">
        <f t="shared" ca="1" si="14"/>
        <v/>
      </c>
      <c r="D932" s="15" t="str">
        <f>IF(C932="","",VLOOKUP(C932,Tabela1[#All],2,0))</f>
        <v/>
      </c>
      <c r="F932" s="16" t="str" cm="1">
        <f t="array" ref="F932">IF(B932="","",(IF(B932="Compra de estoque","",(_xlfn.IFS(AND(B932="Venda de produtos",H932="Sul/Sudeste"),(VLOOKUP(C932,Tabela1[#All],9,0)*E932),AND(B932="Venda de produtos",H932="Nordeste"),(VLOOKUP(C932,Tabela1[#All],11,0)*E932),AND("Venda de produtos",H932="Norte/Centro-Oeste"),(VLOOKUP(C932,Tabela1[#All],13,0)*E932))))))</f>
        <v/>
      </c>
      <c r="G932" s="16" t="str">
        <f>IF(B932="Compra de estoque",VLOOKUP(C932,Tabela1[#All],4,0)*E932,"")</f>
        <v/>
      </c>
      <c r="H932" s="16"/>
    </row>
    <row r="933" spans="1:8" x14ac:dyDescent="0.25">
      <c r="A933" s="14" t="str">
        <f t="shared" ca="1" si="14"/>
        <v/>
      </c>
      <c r="D933" s="15" t="str">
        <f>IF(C933="","",VLOOKUP(C933,Tabela1[#All],2,0))</f>
        <v/>
      </c>
      <c r="F933" s="16" t="str" cm="1">
        <f t="array" ref="F933">IF(B933="","",(IF(B933="Compra de estoque","",(_xlfn.IFS(AND(B933="Venda de produtos",H933="Sul/Sudeste"),(VLOOKUP(C933,Tabela1[#All],9,0)*E933),AND(B933="Venda de produtos",H933="Nordeste"),(VLOOKUP(C933,Tabela1[#All],11,0)*E933),AND("Venda de produtos",H933="Norte/Centro-Oeste"),(VLOOKUP(C933,Tabela1[#All],13,0)*E933))))))</f>
        <v/>
      </c>
      <c r="G933" s="16" t="str">
        <f>IF(B933="Compra de estoque",VLOOKUP(C933,Tabela1[#All],4,0)*E933,"")</f>
        <v/>
      </c>
      <c r="H933" s="16"/>
    </row>
    <row r="934" spans="1:8" x14ac:dyDescent="0.25">
      <c r="A934" s="14" t="str">
        <f t="shared" ca="1" si="14"/>
        <v/>
      </c>
      <c r="D934" s="15" t="str">
        <f>IF(C934="","",VLOOKUP(C934,Tabela1[#All],2,0))</f>
        <v/>
      </c>
      <c r="F934" s="16" t="str" cm="1">
        <f t="array" ref="F934">IF(B934="","",(IF(B934="Compra de estoque","",(_xlfn.IFS(AND(B934="Venda de produtos",H934="Sul/Sudeste"),(VLOOKUP(C934,Tabela1[#All],9,0)*E934),AND(B934="Venda de produtos",H934="Nordeste"),(VLOOKUP(C934,Tabela1[#All],11,0)*E934),AND("Venda de produtos",H934="Norte/Centro-Oeste"),(VLOOKUP(C934,Tabela1[#All],13,0)*E934))))))</f>
        <v/>
      </c>
      <c r="G934" s="16" t="str">
        <f>IF(B934="Compra de estoque",VLOOKUP(C934,Tabela1[#All],4,0)*E934,"")</f>
        <v/>
      </c>
      <c r="H934" s="16"/>
    </row>
    <row r="935" spans="1:8" x14ac:dyDescent="0.25">
      <c r="A935" s="14" t="str">
        <f t="shared" ca="1" si="14"/>
        <v/>
      </c>
      <c r="D935" s="15" t="str">
        <f>IF(C935="","",VLOOKUP(C935,Tabela1[#All],2,0))</f>
        <v/>
      </c>
      <c r="F935" s="16" t="str" cm="1">
        <f t="array" ref="F935">IF(B935="","",(IF(B935="Compra de estoque","",(_xlfn.IFS(AND(B935="Venda de produtos",H935="Sul/Sudeste"),(VLOOKUP(C935,Tabela1[#All],9,0)*E935),AND(B935="Venda de produtos",H935="Nordeste"),(VLOOKUP(C935,Tabela1[#All],11,0)*E935),AND("Venda de produtos",H935="Norte/Centro-Oeste"),(VLOOKUP(C935,Tabela1[#All],13,0)*E935))))))</f>
        <v/>
      </c>
      <c r="G935" s="16" t="str">
        <f>IF(B935="Compra de estoque",VLOOKUP(C935,Tabela1[#All],4,0)*E935,"")</f>
        <v/>
      </c>
      <c r="H935" s="16"/>
    </row>
    <row r="936" spans="1:8" x14ac:dyDescent="0.25">
      <c r="A936" s="14" t="str">
        <f t="shared" ca="1" si="14"/>
        <v/>
      </c>
      <c r="D936" s="15" t="str">
        <f>IF(C936="","",VLOOKUP(C936,Tabela1[#All],2,0))</f>
        <v/>
      </c>
      <c r="F936" s="16" t="str" cm="1">
        <f t="array" ref="F936">IF(B936="","",(IF(B936="Compra de estoque","",(_xlfn.IFS(AND(B936="Venda de produtos",H936="Sul/Sudeste"),(VLOOKUP(C936,Tabela1[#All],9,0)*E936),AND(B936="Venda de produtos",H936="Nordeste"),(VLOOKUP(C936,Tabela1[#All],11,0)*E936),AND("Venda de produtos",H936="Norte/Centro-Oeste"),(VLOOKUP(C936,Tabela1[#All],13,0)*E936))))))</f>
        <v/>
      </c>
      <c r="G936" s="16" t="str">
        <f>IF(B936="Compra de estoque",VLOOKUP(C936,Tabela1[#All],4,0)*E936,"")</f>
        <v/>
      </c>
      <c r="H936" s="16"/>
    </row>
    <row r="937" spans="1:8" x14ac:dyDescent="0.25">
      <c r="A937" s="14" t="str">
        <f t="shared" ca="1" si="14"/>
        <v/>
      </c>
      <c r="D937" s="15" t="str">
        <f>IF(C937="","",VLOOKUP(C937,Tabela1[#All],2,0))</f>
        <v/>
      </c>
      <c r="F937" s="16" t="str" cm="1">
        <f t="array" ref="F937">IF(B937="","",(IF(B937="Compra de estoque","",(_xlfn.IFS(AND(B937="Venda de produtos",H937="Sul/Sudeste"),(VLOOKUP(C937,Tabela1[#All],9,0)*E937),AND(B937="Venda de produtos",H937="Nordeste"),(VLOOKUP(C937,Tabela1[#All],11,0)*E937),AND("Venda de produtos",H937="Norte/Centro-Oeste"),(VLOOKUP(C937,Tabela1[#All],13,0)*E937))))))</f>
        <v/>
      </c>
      <c r="G937" s="16" t="str">
        <f>IF(B937="Compra de estoque",VLOOKUP(C937,Tabela1[#All],4,0)*E937,"")</f>
        <v/>
      </c>
      <c r="H937" s="16"/>
    </row>
    <row r="938" spans="1:8" x14ac:dyDescent="0.25">
      <c r="A938" s="14" t="str">
        <f t="shared" ca="1" si="14"/>
        <v/>
      </c>
      <c r="D938" s="15" t="str">
        <f>IF(C938="","",VLOOKUP(C938,Tabela1[#All],2,0))</f>
        <v/>
      </c>
      <c r="F938" s="16" t="str" cm="1">
        <f t="array" ref="F938">IF(B938="","",(IF(B938="Compra de estoque","",(_xlfn.IFS(AND(B938="Venda de produtos",H938="Sul/Sudeste"),(VLOOKUP(C938,Tabela1[#All],9,0)*E938),AND(B938="Venda de produtos",H938="Nordeste"),(VLOOKUP(C938,Tabela1[#All],11,0)*E938),AND("Venda de produtos",H938="Norte/Centro-Oeste"),(VLOOKUP(C938,Tabela1[#All],13,0)*E938))))))</f>
        <v/>
      </c>
      <c r="G938" s="16" t="str">
        <f>IF(B938="Compra de estoque",VLOOKUP(C938,Tabela1[#All],4,0)*E938,"")</f>
        <v/>
      </c>
      <c r="H938" s="16"/>
    </row>
    <row r="939" spans="1:8" x14ac:dyDescent="0.25">
      <c r="A939" s="14" t="str">
        <f t="shared" ca="1" si="14"/>
        <v/>
      </c>
      <c r="D939" s="15" t="str">
        <f>IF(C939="","",VLOOKUP(C939,Tabela1[#All],2,0))</f>
        <v/>
      </c>
      <c r="F939" s="16" t="str" cm="1">
        <f t="array" ref="F939">IF(B939="","",(IF(B939="Compra de estoque","",(_xlfn.IFS(AND(B939="Venda de produtos",H939="Sul/Sudeste"),(VLOOKUP(C939,Tabela1[#All],9,0)*E939),AND(B939="Venda de produtos",H939="Nordeste"),(VLOOKUP(C939,Tabela1[#All],11,0)*E939),AND("Venda de produtos",H939="Norte/Centro-Oeste"),(VLOOKUP(C939,Tabela1[#All],13,0)*E939))))))</f>
        <v/>
      </c>
      <c r="G939" s="16" t="str">
        <f>IF(B939="Compra de estoque",VLOOKUP(C939,Tabela1[#All],4,0)*E939,"")</f>
        <v/>
      </c>
      <c r="H939" s="16"/>
    </row>
    <row r="940" spans="1:8" x14ac:dyDescent="0.25">
      <c r="A940" s="14" t="str">
        <f t="shared" ca="1" si="14"/>
        <v/>
      </c>
      <c r="D940" s="15" t="str">
        <f>IF(C940="","",VLOOKUP(C940,Tabela1[#All],2,0))</f>
        <v/>
      </c>
      <c r="F940" s="16" t="str" cm="1">
        <f t="array" ref="F940">IF(B940="","",(IF(B940="Compra de estoque","",(_xlfn.IFS(AND(B940="Venda de produtos",H940="Sul/Sudeste"),(VLOOKUP(C940,Tabela1[#All],9,0)*E940),AND(B940="Venda de produtos",H940="Nordeste"),(VLOOKUP(C940,Tabela1[#All],11,0)*E940),AND("Venda de produtos",H940="Norte/Centro-Oeste"),(VLOOKUP(C940,Tabela1[#All],13,0)*E940))))))</f>
        <v/>
      </c>
      <c r="G940" s="16" t="str">
        <f>IF(B940="Compra de estoque",VLOOKUP(C940,Tabela1[#All],4,0)*E940,"")</f>
        <v/>
      </c>
      <c r="H940" s="16"/>
    </row>
    <row r="941" spans="1:8" x14ac:dyDescent="0.25">
      <c r="A941" s="14" t="str">
        <f t="shared" ca="1" si="14"/>
        <v/>
      </c>
      <c r="D941" s="15" t="str">
        <f>IF(C941="","",VLOOKUP(C941,Tabela1[#All],2,0))</f>
        <v/>
      </c>
      <c r="F941" s="16" t="str" cm="1">
        <f t="array" ref="F941">IF(B941="","",(IF(B941="Compra de estoque","",(_xlfn.IFS(AND(B941="Venda de produtos",H941="Sul/Sudeste"),(VLOOKUP(C941,Tabela1[#All],9,0)*E941),AND(B941="Venda de produtos",H941="Nordeste"),(VLOOKUP(C941,Tabela1[#All],11,0)*E941),AND("Venda de produtos",H941="Norte/Centro-Oeste"),(VLOOKUP(C941,Tabela1[#All],13,0)*E941))))))</f>
        <v/>
      </c>
      <c r="G941" s="16" t="str">
        <f>IF(B941="Compra de estoque",VLOOKUP(C941,Tabela1[#All],4,0)*E941,"")</f>
        <v/>
      </c>
      <c r="H941" s="16"/>
    </row>
    <row r="942" spans="1:8" x14ac:dyDescent="0.25">
      <c r="A942" s="14" t="str">
        <f t="shared" ca="1" si="14"/>
        <v/>
      </c>
      <c r="D942" s="15" t="str">
        <f>IF(C942="","",VLOOKUP(C942,Tabela1[#All],2,0))</f>
        <v/>
      </c>
      <c r="F942" s="16" t="str" cm="1">
        <f t="array" ref="F942">IF(B942="","",(IF(B942="Compra de estoque","",(_xlfn.IFS(AND(B942="Venda de produtos",H942="Sul/Sudeste"),(VLOOKUP(C942,Tabela1[#All],9,0)*E942),AND(B942="Venda de produtos",H942="Nordeste"),(VLOOKUP(C942,Tabela1[#All],11,0)*E942),AND("Venda de produtos",H942="Norte/Centro-Oeste"),(VLOOKUP(C942,Tabela1[#All],13,0)*E942))))))</f>
        <v/>
      </c>
      <c r="G942" s="16" t="str">
        <f>IF(B942="Compra de estoque",VLOOKUP(C942,Tabela1[#All],4,0)*E942,"")</f>
        <v/>
      </c>
      <c r="H942" s="16"/>
    </row>
    <row r="943" spans="1:8" x14ac:dyDescent="0.25">
      <c r="A943" s="14" t="str">
        <f t="shared" ca="1" si="14"/>
        <v/>
      </c>
      <c r="D943" s="15" t="str">
        <f>IF(C943="","",VLOOKUP(C943,Tabela1[#All],2,0))</f>
        <v/>
      </c>
      <c r="F943" s="16" t="str" cm="1">
        <f t="array" ref="F943">IF(B943="","",(IF(B943="Compra de estoque","",(_xlfn.IFS(AND(B943="Venda de produtos",H943="Sul/Sudeste"),(VLOOKUP(C943,Tabela1[#All],9,0)*E943),AND(B943="Venda de produtos",H943="Nordeste"),(VLOOKUP(C943,Tabela1[#All],11,0)*E943),AND("Venda de produtos",H943="Norte/Centro-Oeste"),(VLOOKUP(C943,Tabela1[#All],13,0)*E943))))))</f>
        <v/>
      </c>
      <c r="G943" s="16" t="str">
        <f>IF(B943="Compra de estoque",VLOOKUP(C943,Tabela1[#All],4,0)*E943,"")</f>
        <v/>
      </c>
      <c r="H943" s="16"/>
    </row>
    <row r="944" spans="1:8" x14ac:dyDescent="0.25">
      <c r="A944" s="14" t="str">
        <f t="shared" ca="1" si="14"/>
        <v/>
      </c>
      <c r="D944" s="15" t="str">
        <f>IF(C944="","",VLOOKUP(C944,Tabela1[#All],2,0))</f>
        <v/>
      </c>
      <c r="F944" s="16" t="str" cm="1">
        <f t="array" ref="F944">IF(B944="","",(IF(B944="Compra de estoque","",(_xlfn.IFS(AND(B944="Venda de produtos",H944="Sul/Sudeste"),(VLOOKUP(C944,Tabela1[#All],9,0)*E944),AND(B944="Venda de produtos",H944="Nordeste"),(VLOOKUP(C944,Tabela1[#All],11,0)*E944),AND("Venda de produtos",H944="Norte/Centro-Oeste"),(VLOOKUP(C944,Tabela1[#All],13,0)*E944))))))</f>
        <v/>
      </c>
      <c r="G944" s="16" t="str">
        <f>IF(B944="Compra de estoque",VLOOKUP(C944,Tabela1[#All],4,0)*E944,"")</f>
        <v/>
      </c>
      <c r="H944" s="16"/>
    </row>
    <row r="945" spans="1:8" x14ac:dyDescent="0.25">
      <c r="A945" s="14" t="str">
        <f t="shared" ca="1" si="14"/>
        <v/>
      </c>
      <c r="D945" s="15" t="str">
        <f>IF(C945="","",VLOOKUP(C945,Tabela1[#All],2,0))</f>
        <v/>
      </c>
      <c r="F945" s="16" t="str" cm="1">
        <f t="array" ref="F945">IF(B945="","",(IF(B945="Compra de estoque","",(_xlfn.IFS(AND(B945="Venda de produtos",H945="Sul/Sudeste"),(VLOOKUP(C945,Tabela1[#All],9,0)*E945),AND(B945="Venda de produtos",H945="Nordeste"),(VLOOKUP(C945,Tabela1[#All],11,0)*E945),AND("Venda de produtos",H945="Norte/Centro-Oeste"),(VLOOKUP(C945,Tabela1[#All],13,0)*E945))))))</f>
        <v/>
      </c>
      <c r="G945" s="16" t="str">
        <f>IF(B945="Compra de estoque",VLOOKUP(C945,Tabela1[#All],4,0)*E945,"")</f>
        <v/>
      </c>
      <c r="H945" s="16"/>
    </row>
    <row r="946" spans="1:8" x14ac:dyDescent="0.25">
      <c r="A946" s="14" t="str">
        <f t="shared" ca="1" si="14"/>
        <v/>
      </c>
      <c r="D946" s="15" t="str">
        <f>IF(C946="","",VLOOKUP(C946,Tabela1[#All],2,0))</f>
        <v/>
      </c>
      <c r="F946" s="16" t="str" cm="1">
        <f t="array" ref="F946">IF(B946="","",(IF(B946="Compra de estoque","",(_xlfn.IFS(AND(B946="Venda de produtos",H946="Sul/Sudeste"),(VLOOKUP(C946,Tabela1[#All],9,0)*E946),AND(B946="Venda de produtos",H946="Nordeste"),(VLOOKUP(C946,Tabela1[#All],11,0)*E946),AND("Venda de produtos",H946="Norte/Centro-Oeste"),(VLOOKUP(C946,Tabela1[#All],13,0)*E946))))))</f>
        <v/>
      </c>
      <c r="G946" s="16" t="str">
        <f>IF(B946="Compra de estoque",VLOOKUP(C946,Tabela1[#All],4,0)*E946,"")</f>
        <v/>
      </c>
      <c r="H946" s="16"/>
    </row>
    <row r="947" spans="1:8" x14ac:dyDescent="0.25">
      <c r="A947" s="14" t="str">
        <f t="shared" ca="1" si="14"/>
        <v/>
      </c>
      <c r="D947" s="15" t="str">
        <f>IF(C947="","",VLOOKUP(C947,Tabela1[#All],2,0))</f>
        <v/>
      </c>
      <c r="F947" s="16" t="str" cm="1">
        <f t="array" ref="F947">IF(B947="","",(IF(B947="Compra de estoque","",(_xlfn.IFS(AND(B947="Venda de produtos",H947="Sul/Sudeste"),(VLOOKUP(C947,Tabela1[#All],9,0)*E947),AND(B947="Venda de produtos",H947="Nordeste"),(VLOOKUP(C947,Tabela1[#All],11,0)*E947),AND("Venda de produtos",H947="Norte/Centro-Oeste"),(VLOOKUP(C947,Tabela1[#All],13,0)*E947))))))</f>
        <v/>
      </c>
      <c r="G947" s="16" t="str">
        <f>IF(B947="Compra de estoque",VLOOKUP(C947,Tabela1[#All],4,0)*E947,"")</f>
        <v/>
      </c>
      <c r="H947" s="16"/>
    </row>
    <row r="948" spans="1:8" x14ac:dyDescent="0.25">
      <c r="A948" s="14" t="str">
        <f t="shared" ca="1" si="14"/>
        <v/>
      </c>
      <c r="D948" s="15" t="str">
        <f>IF(C948="","",VLOOKUP(C948,Tabela1[#All],2,0))</f>
        <v/>
      </c>
      <c r="F948" s="16" t="str" cm="1">
        <f t="array" ref="F948">IF(B948="","",(IF(B948="Compra de estoque","",(_xlfn.IFS(AND(B948="Venda de produtos",H948="Sul/Sudeste"),(VLOOKUP(C948,Tabela1[#All],9,0)*E948),AND(B948="Venda de produtos",H948="Nordeste"),(VLOOKUP(C948,Tabela1[#All],11,0)*E948),AND("Venda de produtos",H948="Norte/Centro-Oeste"),(VLOOKUP(C948,Tabela1[#All],13,0)*E948))))))</f>
        <v/>
      </c>
      <c r="G948" s="16" t="str">
        <f>IF(B948="Compra de estoque",VLOOKUP(C948,Tabela1[#All],4,0)*E948,"")</f>
        <v/>
      </c>
      <c r="H948" s="16"/>
    </row>
    <row r="949" spans="1:8" x14ac:dyDescent="0.25">
      <c r="A949" s="14" t="str">
        <f t="shared" ca="1" si="14"/>
        <v/>
      </c>
      <c r="D949" s="15" t="str">
        <f>IF(C949="","",VLOOKUP(C949,Tabela1[#All],2,0))</f>
        <v/>
      </c>
      <c r="F949" s="16" t="str" cm="1">
        <f t="array" ref="F949">IF(B949="","",(IF(B949="Compra de estoque","",(_xlfn.IFS(AND(B949="Venda de produtos",H949="Sul/Sudeste"),(VLOOKUP(C949,Tabela1[#All],9,0)*E949),AND(B949="Venda de produtos",H949="Nordeste"),(VLOOKUP(C949,Tabela1[#All],11,0)*E949),AND("Venda de produtos",H949="Norte/Centro-Oeste"),(VLOOKUP(C949,Tabela1[#All],13,0)*E949))))))</f>
        <v/>
      </c>
      <c r="G949" s="16" t="str">
        <f>IF(B949="Compra de estoque",VLOOKUP(C949,Tabela1[#All],4,0)*E949,"")</f>
        <v/>
      </c>
      <c r="H949" s="16"/>
    </row>
    <row r="950" spans="1:8" x14ac:dyDescent="0.25">
      <c r="A950" s="14" t="str">
        <f t="shared" ca="1" si="14"/>
        <v/>
      </c>
      <c r="D950" s="15" t="str">
        <f>IF(C950="","",VLOOKUP(C950,Tabela1[#All],2,0))</f>
        <v/>
      </c>
      <c r="F950" s="16" t="str" cm="1">
        <f t="array" ref="F950">IF(B950="","",(IF(B950="Compra de estoque","",(_xlfn.IFS(AND(B950="Venda de produtos",H950="Sul/Sudeste"),(VLOOKUP(C950,Tabela1[#All],9,0)*E950),AND(B950="Venda de produtos",H950="Nordeste"),(VLOOKUP(C950,Tabela1[#All],11,0)*E950),AND("Venda de produtos",H950="Norte/Centro-Oeste"),(VLOOKUP(C950,Tabela1[#All],13,0)*E950))))))</f>
        <v/>
      </c>
      <c r="G950" s="16" t="str">
        <f>IF(B950="Compra de estoque",VLOOKUP(C950,Tabela1[#All],4,0)*E950,"")</f>
        <v/>
      </c>
      <c r="H950" s="16"/>
    </row>
    <row r="951" spans="1:8" x14ac:dyDescent="0.25">
      <c r="A951" s="14" t="str">
        <f t="shared" ca="1" si="14"/>
        <v/>
      </c>
      <c r="D951" s="15" t="str">
        <f>IF(C951="","",VLOOKUP(C951,Tabela1[#All],2,0))</f>
        <v/>
      </c>
      <c r="F951" s="16" t="str" cm="1">
        <f t="array" ref="F951">IF(B951="","",(IF(B951="Compra de estoque","",(_xlfn.IFS(AND(B951="Venda de produtos",H951="Sul/Sudeste"),(VLOOKUP(C951,Tabela1[#All],9,0)*E951),AND(B951="Venda de produtos",H951="Nordeste"),(VLOOKUP(C951,Tabela1[#All],11,0)*E951),AND("Venda de produtos",H951="Norte/Centro-Oeste"),(VLOOKUP(C951,Tabela1[#All],13,0)*E951))))))</f>
        <v/>
      </c>
      <c r="G951" s="16" t="str">
        <f>IF(B951="Compra de estoque",VLOOKUP(C951,Tabela1[#All],4,0)*E951,"")</f>
        <v/>
      </c>
      <c r="H951" s="16"/>
    </row>
    <row r="952" spans="1:8" x14ac:dyDescent="0.25">
      <c r="A952" s="14" t="str">
        <f t="shared" ca="1" si="14"/>
        <v/>
      </c>
      <c r="D952" s="15" t="str">
        <f>IF(C952="","",VLOOKUP(C952,Tabela1[#All],2,0))</f>
        <v/>
      </c>
      <c r="F952" s="16" t="str" cm="1">
        <f t="array" ref="F952">IF(B952="","",(IF(B952="Compra de estoque","",(_xlfn.IFS(AND(B952="Venda de produtos",H952="Sul/Sudeste"),(VLOOKUP(C952,Tabela1[#All],9,0)*E952),AND(B952="Venda de produtos",H952="Nordeste"),(VLOOKUP(C952,Tabela1[#All],11,0)*E952),AND("Venda de produtos",H952="Norte/Centro-Oeste"),(VLOOKUP(C952,Tabela1[#All],13,0)*E952))))))</f>
        <v/>
      </c>
      <c r="G952" s="16" t="str">
        <f>IF(B952="Compra de estoque",VLOOKUP(C952,Tabela1[#All],4,0)*E952,"")</f>
        <v/>
      </c>
      <c r="H952" s="16"/>
    </row>
    <row r="953" spans="1:8" x14ac:dyDescent="0.25">
      <c r="A953" s="14" t="str">
        <f t="shared" ca="1" si="14"/>
        <v/>
      </c>
      <c r="D953" s="15" t="str">
        <f>IF(C953="","",VLOOKUP(C953,Tabela1[#All],2,0))</f>
        <v/>
      </c>
      <c r="F953" s="16" t="str" cm="1">
        <f t="array" ref="F953">IF(B953="","",(IF(B953="Compra de estoque","",(_xlfn.IFS(AND(B953="Venda de produtos",H953="Sul/Sudeste"),(VLOOKUP(C953,Tabela1[#All],9,0)*E953),AND(B953="Venda de produtos",H953="Nordeste"),(VLOOKUP(C953,Tabela1[#All],11,0)*E953),AND("Venda de produtos",H953="Norte/Centro-Oeste"),(VLOOKUP(C953,Tabela1[#All],13,0)*E953))))))</f>
        <v/>
      </c>
      <c r="G953" s="16" t="str">
        <f>IF(B953="Compra de estoque",VLOOKUP(C953,Tabela1[#All],4,0)*E953,"")</f>
        <v/>
      </c>
      <c r="H953" s="16"/>
    </row>
    <row r="954" spans="1:8" x14ac:dyDescent="0.25">
      <c r="A954" s="14" t="str">
        <f t="shared" ca="1" si="14"/>
        <v/>
      </c>
      <c r="D954" s="15" t="str">
        <f>IF(C954="","",VLOOKUP(C954,Tabela1[#All],2,0))</f>
        <v/>
      </c>
      <c r="F954" s="16" t="str" cm="1">
        <f t="array" ref="F954">IF(B954="","",(IF(B954="Compra de estoque","",(_xlfn.IFS(AND(B954="Venda de produtos",H954="Sul/Sudeste"),(VLOOKUP(C954,Tabela1[#All],9,0)*E954),AND(B954="Venda de produtos",H954="Nordeste"),(VLOOKUP(C954,Tabela1[#All],11,0)*E954),AND("Venda de produtos",H954="Norte/Centro-Oeste"),(VLOOKUP(C954,Tabela1[#All],13,0)*E954))))))</f>
        <v/>
      </c>
      <c r="G954" s="16" t="str">
        <f>IF(B954="Compra de estoque",VLOOKUP(C954,Tabela1[#All],4,0)*E954,"")</f>
        <v/>
      </c>
      <c r="H954" s="16"/>
    </row>
    <row r="955" spans="1:8" x14ac:dyDescent="0.25">
      <c r="A955" s="14" t="str">
        <f t="shared" ca="1" si="14"/>
        <v/>
      </c>
      <c r="D955" s="15" t="str">
        <f>IF(C955="","",VLOOKUP(C955,Tabela1[#All],2,0))</f>
        <v/>
      </c>
      <c r="F955" s="16" t="str" cm="1">
        <f t="array" ref="F955">IF(B955="","",(IF(B955="Compra de estoque","",(_xlfn.IFS(AND(B955="Venda de produtos",H955="Sul/Sudeste"),(VLOOKUP(C955,Tabela1[#All],9,0)*E955),AND(B955="Venda de produtos",H955="Nordeste"),(VLOOKUP(C955,Tabela1[#All],11,0)*E955),AND("Venda de produtos",H955="Norte/Centro-Oeste"),(VLOOKUP(C955,Tabela1[#All],13,0)*E955))))))</f>
        <v/>
      </c>
      <c r="G955" s="16" t="str">
        <f>IF(B955="Compra de estoque",VLOOKUP(C955,Tabela1[#All],4,0)*E955,"")</f>
        <v/>
      </c>
      <c r="H955" s="16"/>
    </row>
    <row r="956" spans="1:8" x14ac:dyDescent="0.25">
      <c r="A956" s="14" t="str">
        <f t="shared" ca="1" si="14"/>
        <v/>
      </c>
      <c r="D956" s="15" t="str">
        <f>IF(C956="","",VLOOKUP(C956,Tabela1[#All],2,0))</f>
        <v/>
      </c>
      <c r="F956" s="16" t="str" cm="1">
        <f t="array" ref="F956">IF(B956="","",(IF(B956="Compra de estoque","",(_xlfn.IFS(AND(B956="Venda de produtos",H956="Sul/Sudeste"),(VLOOKUP(C956,Tabela1[#All],9,0)*E956),AND(B956="Venda de produtos",H956="Nordeste"),(VLOOKUP(C956,Tabela1[#All],11,0)*E956),AND("Venda de produtos",H956="Norte/Centro-Oeste"),(VLOOKUP(C956,Tabela1[#All],13,0)*E956))))))</f>
        <v/>
      </c>
      <c r="G956" s="16" t="str">
        <f>IF(B956="Compra de estoque",VLOOKUP(C956,Tabela1[#All],4,0)*E956,"")</f>
        <v/>
      </c>
      <c r="H956" s="16"/>
    </row>
    <row r="957" spans="1:8" x14ac:dyDescent="0.25">
      <c r="A957" s="14" t="str">
        <f t="shared" ca="1" si="14"/>
        <v/>
      </c>
      <c r="D957" s="15" t="str">
        <f>IF(C957="","",VLOOKUP(C957,Tabela1[#All],2,0))</f>
        <v/>
      </c>
      <c r="F957" s="16" t="str" cm="1">
        <f t="array" ref="F957">IF(B957="","",(IF(B957="Compra de estoque","",(_xlfn.IFS(AND(B957="Venda de produtos",H957="Sul/Sudeste"),(VLOOKUP(C957,Tabela1[#All],9,0)*E957),AND(B957="Venda de produtos",H957="Nordeste"),(VLOOKUP(C957,Tabela1[#All],11,0)*E957),AND("Venda de produtos",H957="Norte/Centro-Oeste"),(VLOOKUP(C957,Tabela1[#All],13,0)*E957))))))</f>
        <v/>
      </c>
      <c r="G957" s="16" t="str">
        <f>IF(B957="Compra de estoque",VLOOKUP(C957,Tabela1[#All],4,0)*E957,"")</f>
        <v/>
      </c>
      <c r="H957" s="16"/>
    </row>
    <row r="958" spans="1:8" x14ac:dyDescent="0.25">
      <c r="A958" s="14" t="str">
        <f t="shared" ca="1" si="14"/>
        <v/>
      </c>
      <c r="D958" s="15" t="str">
        <f>IF(C958="","",VLOOKUP(C958,Tabela1[#All],2,0))</f>
        <v/>
      </c>
      <c r="F958" s="16" t="str" cm="1">
        <f t="array" ref="F958">IF(B958="","",(IF(B958="Compra de estoque","",(_xlfn.IFS(AND(B958="Venda de produtos",H958="Sul/Sudeste"),(VLOOKUP(C958,Tabela1[#All],9,0)*E958),AND(B958="Venda de produtos",H958="Nordeste"),(VLOOKUP(C958,Tabela1[#All],11,0)*E958),AND("Venda de produtos",H958="Norte/Centro-Oeste"),(VLOOKUP(C958,Tabela1[#All],13,0)*E958))))))</f>
        <v/>
      </c>
      <c r="G958" s="16" t="str">
        <f>IF(B958="Compra de estoque",VLOOKUP(C958,Tabela1[#All],4,0)*E958,"")</f>
        <v/>
      </c>
      <c r="H958" s="16"/>
    </row>
    <row r="959" spans="1:8" x14ac:dyDescent="0.25">
      <c r="A959" s="14" t="str">
        <f t="shared" ca="1" si="14"/>
        <v/>
      </c>
      <c r="D959" s="15" t="str">
        <f>IF(C959="","",VLOOKUP(C959,Tabela1[#All],2,0))</f>
        <v/>
      </c>
      <c r="F959" s="16" t="str" cm="1">
        <f t="array" ref="F959">IF(B959="","",(IF(B959="Compra de estoque","",(_xlfn.IFS(AND(B959="Venda de produtos",H959="Sul/Sudeste"),(VLOOKUP(C959,Tabela1[#All],9,0)*E959),AND(B959="Venda de produtos",H959="Nordeste"),(VLOOKUP(C959,Tabela1[#All],11,0)*E959),AND("Venda de produtos",H959="Norte/Centro-Oeste"),(VLOOKUP(C959,Tabela1[#All],13,0)*E959))))))</f>
        <v/>
      </c>
      <c r="G959" s="16" t="str">
        <f>IF(B959="Compra de estoque",VLOOKUP(C959,Tabela1[#All],4,0)*E959,"")</f>
        <v/>
      </c>
      <c r="H959" s="16"/>
    </row>
    <row r="960" spans="1:8" x14ac:dyDescent="0.25">
      <c r="A960" s="14" t="str">
        <f t="shared" ca="1" si="14"/>
        <v/>
      </c>
      <c r="D960" s="15" t="str">
        <f>IF(C960="","",VLOOKUP(C960,Tabela1[#All],2,0))</f>
        <v/>
      </c>
      <c r="F960" s="16" t="str" cm="1">
        <f t="array" ref="F960">IF(B960="","",(IF(B960="Compra de estoque","",(_xlfn.IFS(AND(B960="Venda de produtos",H960="Sul/Sudeste"),(VLOOKUP(C960,Tabela1[#All],9,0)*E960),AND(B960="Venda de produtos",H960="Nordeste"),(VLOOKUP(C960,Tabela1[#All],11,0)*E960),AND("Venda de produtos",H960="Norte/Centro-Oeste"),(VLOOKUP(C960,Tabela1[#All],13,0)*E960))))))</f>
        <v/>
      </c>
      <c r="G960" s="16" t="str">
        <f>IF(B960="Compra de estoque",VLOOKUP(C960,Tabela1[#All],4,0)*E960,"")</f>
        <v/>
      </c>
      <c r="H960" s="16"/>
    </row>
    <row r="961" spans="1:8" x14ac:dyDescent="0.25">
      <c r="A961" s="14" t="str">
        <f t="shared" ca="1" si="14"/>
        <v/>
      </c>
      <c r="D961" s="15" t="str">
        <f>IF(C961="","",VLOOKUP(C961,Tabela1[#All],2,0))</f>
        <v/>
      </c>
      <c r="F961" s="16" t="str" cm="1">
        <f t="array" ref="F961">IF(B961="","",(IF(B961="Compra de estoque","",(_xlfn.IFS(AND(B961="Venda de produtos",H961="Sul/Sudeste"),(VLOOKUP(C961,Tabela1[#All],9,0)*E961),AND(B961="Venda de produtos",H961="Nordeste"),(VLOOKUP(C961,Tabela1[#All],11,0)*E961),AND("Venda de produtos",H961="Norte/Centro-Oeste"),(VLOOKUP(C961,Tabela1[#All],13,0)*E961))))))</f>
        <v/>
      </c>
      <c r="G961" s="16" t="str">
        <f>IF(B961="Compra de estoque",VLOOKUP(C961,Tabela1[#All],4,0)*E961,"")</f>
        <v/>
      </c>
      <c r="H961" s="16"/>
    </row>
    <row r="962" spans="1:8" x14ac:dyDescent="0.25">
      <c r="A962" s="14" t="str">
        <f t="shared" ca="1" si="14"/>
        <v/>
      </c>
      <c r="D962" s="15" t="str">
        <f>IF(C962="","",VLOOKUP(C962,Tabela1[#All],2,0))</f>
        <v/>
      </c>
      <c r="F962" s="16" t="str" cm="1">
        <f t="array" ref="F962">IF(B962="","",(IF(B962="Compra de estoque","",(_xlfn.IFS(AND(B962="Venda de produtos",H962="Sul/Sudeste"),(VLOOKUP(C962,Tabela1[#All],9,0)*E962),AND(B962="Venda de produtos",H962="Nordeste"),(VLOOKUP(C962,Tabela1[#All],11,0)*E962),AND("Venda de produtos",H962="Norte/Centro-Oeste"),(VLOOKUP(C962,Tabela1[#All],13,0)*E962))))))</f>
        <v/>
      </c>
      <c r="G962" s="16" t="str">
        <f>IF(B962="Compra de estoque",VLOOKUP(C962,Tabela1[#All],4,0)*E962,"")</f>
        <v/>
      </c>
      <c r="H962" s="16"/>
    </row>
    <row r="963" spans="1:8" x14ac:dyDescent="0.25">
      <c r="A963" s="14" t="str">
        <f t="shared" ref="A963:A1026" ca="1" si="15">IF(C963="","",NOW())</f>
        <v/>
      </c>
      <c r="D963" s="15" t="str">
        <f>IF(C963="","",VLOOKUP(C963,Tabela1[#All],2,0))</f>
        <v/>
      </c>
      <c r="F963" s="16" t="str" cm="1">
        <f t="array" ref="F963">IF(B963="","",(IF(B963="Compra de estoque","",(_xlfn.IFS(AND(B963="Venda de produtos",H963="Sul/Sudeste"),(VLOOKUP(C963,Tabela1[#All],9,0)*E963),AND(B963="Venda de produtos",H963="Nordeste"),(VLOOKUP(C963,Tabela1[#All],11,0)*E963),AND("Venda de produtos",H963="Norte/Centro-Oeste"),(VLOOKUP(C963,Tabela1[#All],13,0)*E963))))))</f>
        <v/>
      </c>
      <c r="G963" s="16" t="str">
        <f>IF(B963="Compra de estoque",VLOOKUP(C963,Tabela1[#All],4,0)*E963,"")</f>
        <v/>
      </c>
      <c r="H963" s="16"/>
    </row>
    <row r="964" spans="1:8" x14ac:dyDescent="0.25">
      <c r="A964" s="14" t="str">
        <f t="shared" ca="1" si="15"/>
        <v/>
      </c>
      <c r="D964" s="15" t="str">
        <f>IF(C964="","",VLOOKUP(C964,Tabela1[#All],2,0))</f>
        <v/>
      </c>
      <c r="F964" s="16" t="str" cm="1">
        <f t="array" ref="F964">IF(B964="","",(IF(B964="Compra de estoque","",(_xlfn.IFS(AND(B964="Venda de produtos",H964="Sul/Sudeste"),(VLOOKUP(C964,Tabela1[#All],9,0)*E964),AND(B964="Venda de produtos",H964="Nordeste"),(VLOOKUP(C964,Tabela1[#All],11,0)*E964),AND("Venda de produtos",H964="Norte/Centro-Oeste"),(VLOOKUP(C964,Tabela1[#All],13,0)*E964))))))</f>
        <v/>
      </c>
      <c r="G964" s="16" t="str">
        <f>IF(B964="Compra de estoque",VLOOKUP(C964,Tabela1[#All],4,0)*E964,"")</f>
        <v/>
      </c>
      <c r="H964" s="16"/>
    </row>
    <row r="965" spans="1:8" x14ac:dyDescent="0.25">
      <c r="A965" s="14" t="str">
        <f t="shared" ca="1" si="15"/>
        <v/>
      </c>
      <c r="D965" s="15" t="str">
        <f>IF(C965="","",VLOOKUP(C965,Tabela1[#All],2,0))</f>
        <v/>
      </c>
      <c r="F965" s="16" t="str" cm="1">
        <f t="array" ref="F965">IF(B965="","",(IF(B965="Compra de estoque","",(_xlfn.IFS(AND(B965="Venda de produtos",H965="Sul/Sudeste"),(VLOOKUP(C965,Tabela1[#All],9,0)*E965),AND(B965="Venda de produtos",H965="Nordeste"),(VLOOKUP(C965,Tabela1[#All],11,0)*E965),AND("Venda de produtos",H965="Norte/Centro-Oeste"),(VLOOKUP(C965,Tabela1[#All],13,0)*E965))))))</f>
        <v/>
      </c>
      <c r="G965" s="16" t="str">
        <f>IF(B965="Compra de estoque",VLOOKUP(C965,Tabela1[#All],4,0)*E965,"")</f>
        <v/>
      </c>
      <c r="H965" s="16"/>
    </row>
    <row r="966" spans="1:8" x14ac:dyDescent="0.25">
      <c r="A966" s="14" t="str">
        <f t="shared" ca="1" si="15"/>
        <v/>
      </c>
      <c r="D966" s="15" t="str">
        <f>IF(C966="","",VLOOKUP(C966,Tabela1[#All],2,0))</f>
        <v/>
      </c>
      <c r="F966" s="16" t="str" cm="1">
        <f t="array" ref="F966">IF(B966="","",(IF(B966="Compra de estoque","",(_xlfn.IFS(AND(B966="Venda de produtos",H966="Sul/Sudeste"),(VLOOKUP(C966,Tabela1[#All],9,0)*E966),AND(B966="Venda de produtos",H966="Nordeste"),(VLOOKUP(C966,Tabela1[#All],11,0)*E966),AND("Venda de produtos",H966="Norte/Centro-Oeste"),(VLOOKUP(C966,Tabela1[#All],13,0)*E966))))))</f>
        <v/>
      </c>
      <c r="G966" s="16" t="str">
        <f>IF(B966="Compra de estoque",VLOOKUP(C966,Tabela1[#All],4,0)*E966,"")</f>
        <v/>
      </c>
      <c r="H966" s="16"/>
    </row>
    <row r="967" spans="1:8" x14ac:dyDescent="0.25">
      <c r="A967" s="14" t="str">
        <f t="shared" ca="1" si="15"/>
        <v/>
      </c>
      <c r="D967" s="15" t="str">
        <f>IF(C967="","",VLOOKUP(C967,Tabela1[#All],2,0))</f>
        <v/>
      </c>
      <c r="F967" s="16" t="str" cm="1">
        <f t="array" ref="F967">IF(B967="","",(IF(B967="Compra de estoque","",(_xlfn.IFS(AND(B967="Venda de produtos",H967="Sul/Sudeste"),(VLOOKUP(C967,Tabela1[#All],9,0)*E967),AND(B967="Venda de produtos",H967="Nordeste"),(VLOOKUP(C967,Tabela1[#All],11,0)*E967),AND("Venda de produtos",H967="Norte/Centro-Oeste"),(VLOOKUP(C967,Tabela1[#All],13,0)*E967))))))</f>
        <v/>
      </c>
      <c r="G967" s="16" t="str">
        <f>IF(B967="Compra de estoque",VLOOKUP(C967,Tabela1[#All],4,0)*E967,"")</f>
        <v/>
      </c>
      <c r="H967" s="16"/>
    </row>
    <row r="968" spans="1:8" x14ac:dyDescent="0.25">
      <c r="A968" s="14" t="str">
        <f t="shared" ca="1" si="15"/>
        <v/>
      </c>
      <c r="D968" s="15" t="str">
        <f>IF(C968="","",VLOOKUP(C968,Tabela1[#All],2,0))</f>
        <v/>
      </c>
      <c r="F968" s="16" t="str" cm="1">
        <f t="array" ref="F968">IF(B968="","",(IF(B968="Compra de estoque","",(_xlfn.IFS(AND(B968="Venda de produtos",H968="Sul/Sudeste"),(VLOOKUP(C968,Tabela1[#All],9,0)*E968),AND(B968="Venda de produtos",H968="Nordeste"),(VLOOKUP(C968,Tabela1[#All],11,0)*E968),AND("Venda de produtos",H968="Norte/Centro-Oeste"),(VLOOKUP(C968,Tabela1[#All],13,0)*E968))))))</f>
        <v/>
      </c>
      <c r="G968" s="16" t="str">
        <f>IF(B968="Compra de estoque",VLOOKUP(C968,Tabela1[#All],4,0)*E968,"")</f>
        <v/>
      </c>
      <c r="H968" s="16"/>
    </row>
    <row r="969" spans="1:8" x14ac:dyDescent="0.25">
      <c r="A969" s="14" t="str">
        <f t="shared" ca="1" si="15"/>
        <v/>
      </c>
      <c r="D969" s="15" t="str">
        <f>IF(C969="","",VLOOKUP(C969,Tabela1[#All],2,0))</f>
        <v/>
      </c>
      <c r="F969" s="16" t="str" cm="1">
        <f t="array" ref="F969">IF(B969="","",(IF(B969="Compra de estoque","",(_xlfn.IFS(AND(B969="Venda de produtos",H969="Sul/Sudeste"),(VLOOKUP(C969,Tabela1[#All],9,0)*E969),AND(B969="Venda de produtos",H969="Nordeste"),(VLOOKUP(C969,Tabela1[#All],11,0)*E969),AND("Venda de produtos",H969="Norte/Centro-Oeste"),(VLOOKUP(C969,Tabela1[#All],13,0)*E969))))))</f>
        <v/>
      </c>
      <c r="G969" s="16" t="str">
        <f>IF(B969="Compra de estoque",VLOOKUP(C969,Tabela1[#All],4,0)*E969,"")</f>
        <v/>
      </c>
      <c r="H969" s="16"/>
    </row>
    <row r="970" spans="1:8" x14ac:dyDescent="0.25">
      <c r="A970" s="14" t="str">
        <f t="shared" ca="1" si="15"/>
        <v/>
      </c>
      <c r="D970" s="15" t="str">
        <f>IF(C970="","",VLOOKUP(C970,Tabela1[#All],2,0))</f>
        <v/>
      </c>
      <c r="F970" s="16" t="str" cm="1">
        <f t="array" ref="F970">IF(B970="","",(IF(B970="Compra de estoque","",(_xlfn.IFS(AND(B970="Venda de produtos",H970="Sul/Sudeste"),(VLOOKUP(C970,Tabela1[#All],9,0)*E970),AND(B970="Venda de produtos",H970="Nordeste"),(VLOOKUP(C970,Tabela1[#All],11,0)*E970),AND("Venda de produtos",H970="Norte/Centro-Oeste"),(VLOOKUP(C970,Tabela1[#All],13,0)*E970))))))</f>
        <v/>
      </c>
      <c r="G970" s="16" t="str">
        <f>IF(B970="Compra de estoque",VLOOKUP(C970,Tabela1[#All],4,0)*E970,"")</f>
        <v/>
      </c>
      <c r="H970" s="16"/>
    </row>
    <row r="971" spans="1:8" x14ac:dyDescent="0.25">
      <c r="A971" s="14" t="str">
        <f t="shared" ca="1" si="15"/>
        <v/>
      </c>
      <c r="D971" s="15" t="str">
        <f>IF(C971="","",VLOOKUP(C971,Tabela1[#All],2,0))</f>
        <v/>
      </c>
      <c r="F971" s="16" t="str" cm="1">
        <f t="array" ref="F971">IF(B971="","",(IF(B971="Compra de estoque","",(_xlfn.IFS(AND(B971="Venda de produtos",H971="Sul/Sudeste"),(VLOOKUP(C971,Tabela1[#All],9,0)*E971),AND(B971="Venda de produtos",H971="Nordeste"),(VLOOKUP(C971,Tabela1[#All],11,0)*E971),AND("Venda de produtos",H971="Norte/Centro-Oeste"),(VLOOKUP(C971,Tabela1[#All],13,0)*E971))))))</f>
        <v/>
      </c>
      <c r="G971" s="16" t="str">
        <f>IF(B971="Compra de estoque",VLOOKUP(C971,Tabela1[#All],4,0)*E971,"")</f>
        <v/>
      </c>
      <c r="H971" s="16"/>
    </row>
    <row r="972" spans="1:8" x14ac:dyDescent="0.25">
      <c r="A972" s="14" t="str">
        <f t="shared" ca="1" si="15"/>
        <v/>
      </c>
      <c r="D972" s="15" t="str">
        <f>IF(C972="","",VLOOKUP(C972,Tabela1[#All],2,0))</f>
        <v/>
      </c>
      <c r="F972" s="16" t="str" cm="1">
        <f t="array" ref="F972">IF(B972="","",(IF(B972="Compra de estoque","",(_xlfn.IFS(AND(B972="Venda de produtos",H972="Sul/Sudeste"),(VLOOKUP(C972,Tabela1[#All],9,0)*E972),AND(B972="Venda de produtos",H972="Nordeste"),(VLOOKUP(C972,Tabela1[#All],11,0)*E972),AND("Venda de produtos",H972="Norte/Centro-Oeste"),(VLOOKUP(C972,Tabela1[#All],13,0)*E972))))))</f>
        <v/>
      </c>
      <c r="G972" s="16" t="str">
        <f>IF(B972="Compra de estoque",VLOOKUP(C972,Tabela1[#All],4,0)*E972,"")</f>
        <v/>
      </c>
      <c r="H972" s="16"/>
    </row>
    <row r="973" spans="1:8" x14ac:dyDescent="0.25">
      <c r="A973" s="14" t="str">
        <f t="shared" ca="1" si="15"/>
        <v/>
      </c>
      <c r="D973" s="15" t="str">
        <f>IF(C973="","",VLOOKUP(C973,Tabela1[#All],2,0))</f>
        <v/>
      </c>
      <c r="F973" s="16" t="str" cm="1">
        <f t="array" ref="F973">IF(B973="","",(IF(B973="Compra de estoque","",(_xlfn.IFS(AND(B973="Venda de produtos",H973="Sul/Sudeste"),(VLOOKUP(C973,Tabela1[#All],9,0)*E973),AND(B973="Venda de produtos",H973="Nordeste"),(VLOOKUP(C973,Tabela1[#All],11,0)*E973),AND("Venda de produtos",H973="Norte/Centro-Oeste"),(VLOOKUP(C973,Tabela1[#All],13,0)*E973))))))</f>
        <v/>
      </c>
      <c r="G973" s="16" t="str">
        <f>IF(B973="Compra de estoque",VLOOKUP(C973,Tabela1[#All],4,0)*E973,"")</f>
        <v/>
      </c>
      <c r="H973" s="16"/>
    </row>
    <row r="974" spans="1:8" x14ac:dyDescent="0.25">
      <c r="A974" s="14" t="str">
        <f t="shared" ca="1" si="15"/>
        <v/>
      </c>
      <c r="D974" s="15" t="str">
        <f>IF(C974="","",VLOOKUP(C974,Tabela1[#All],2,0))</f>
        <v/>
      </c>
      <c r="F974" s="16" t="str" cm="1">
        <f t="array" ref="F974">IF(B974="","",(IF(B974="Compra de estoque","",(_xlfn.IFS(AND(B974="Venda de produtos",H974="Sul/Sudeste"),(VLOOKUP(C974,Tabela1[#All],9,0)*E974),AND(B974="Venda de produtos",H974="Nordeste"),(VLOOKUP(C974,Tabela1[#All],11,0)*E974),AND("Venda de produtos",H974="Norte/Centro-Oeste"),(VLOOKUP(C974,Tabela1[#All],13,0)*E974))))))</f>
        <v/>
      </c>
      <c r="G974" s="16" t="str">
        <f>IF(B974="Compra de estoque",VLOOKUP(C974,Tabela1[#All],4,0)*E974,"")</f>
        <v/>
      </c>
      <c r="H974" s="16"/>
    </row>
    <row r="975" spans="1:8" x14ac:dyDescent="0.25">
      <c r="A975" s="14" t="str">
        <f t="shared" ca="1" si="15"/>
        <v/>
      </c>
      <c r="D975" s="15" t="str">
        <f>IF(C975="","",VLOOKUP(C975,Tabela1[#All],2,0))</f>
        <v/>
      </c>
      <c r="F975" s="16" t="str" cm="1">
        <f t="array" ref="F975">IF(B975="","",(IF(B975="Compra de estoque","",(_xlfn.IFS(AND(B975="Venda de produtos",H975="Sul/Sudeste"),(VLOOKUP(C975,Tabela1[#All],9,0)*E975),AND(B975="Venda de produtos",H975="Nordeste"),(VLOOKUP(C975,Tabela1[#All],11,0)*E975),AND("Venda de produtos",H975="Norte/Centro-Oeste"),(VLOOKUP(C975,Tabela1[#All],13,0)*E975))))))</f>
        <v/>
      </c>
      <c r="G975" s="16" t="str">
        <f>IF(B975="Compra de estoque",VLOOKUP(C975,Tabela1[#All],4,0)*E975,"")</f>
        <v/>
      </c>
      <c r="H975" s="16"/>
    </row>
    <row r="976" spans="1:8" x14ac:dyDescent="0.25">
      <c r="A976" s="14" t="str">
        <f t="shared" ca="1" si="15"/>
        <v/>
      </c>
      <c r="D976" s="15" t="str">
        <f>IF(C976="","",VLOOKUP(C976,Tabela1[#All],2,0))</f>
        <v/>
      </c>
      <c r="F976" s="16" t="str" cm="1">
        <f t="array" ref="F976">IF(B976="","",(IF(B976="Compra de estoque","",(_xlfn.IFS(AND(B976="Venda de produtos",H976="Sul/Sudeste"),(VLOOKUP(C976,Tabela1[#All],9,0)*E976),AND(B976="Venda de produtos",H976="Nordeste"),(VLOOKUP(C976,Tabela1[#All],11,0)*E976),AND("Venda de produtos",H976="Norte/Centro-Oeste"),(VLOOKUP(C976,Tabela1[#All],13,0)*E976))))))</f>
        <v/>
      </c>
      <c r="G976" s="16" t="str">
        <f>IF(B976="Compra de estoque",VLOOKUP(C976,Tabela1[#All],4,0)*E976,"")</f>
        <v/>
      </c>
      <c r="H976" s="16"/>
    </row>
    <row r="977" spans="1:8" x14ac:dyDescent="0.25">
      <c r="A977" s="14" t="str">
        <f t="shared" ca="1" si="15"/>
        <v/>
      </c>
      <c r="D977" s="15" t="str">
        <f>IF(C977="","",VLOOKUP(C977,Tabela1[#All],2,0))</f>
        <v/>
      </c>
      <c r="F977" s="16" t="str" cm="1">
        <f t="array" ref="F977">IF(B977="","",(IF(B977="Compra de estoque","",(_xlfn.IFS(AND(B977="Venda de produtos",H977="Sul/Sudeste"),(VLOOKUP(C977,Tabela1[#All],9,0)*E977),AND(B977="Venda de produtos",H977="Nordeste"),(VLOOKUP(C977,Tabela1[#All],11,0)*E977),AND("Venda de produtos",H977="Norte/Centro-Oeste"),(VLOOKUP(C977,Tabela1[#All],13,0)*E977))))))</f>
        <v/>
      </c>
      <c r="G977" s="16" t="str">
        <f>IF(B977="Compra de estoque",VLOOKUP(C977,Tabela1[#All],4,0)*E977,"")</f>
        <v/>
      </c>
      <c r="H977" s="16"/>
    </row>
    <row r="978" spans="1:8" x14ac:dyDescent="0.25">
      <c r="A978" s="14" t="str">
        <f t="shared" ca="1" si="15"/>
        <v/>
      </c>
      <c r="D978" s="15" t="str">
        <f>IF(C978="","",VLOOKUP(C978,Tabela1[#All],2,0))</f>
        <v/>
      </c>
      <c r="F978" s="16" t="str" cm="1">
        <f t="array" ref="F978">IF(B978="","",(IF(B978="Compra de estoque","",(_xlfn.IFS(AND(B978="Venda de produtos",H978="Sul/Sudeste"),(VLOOKUP(C978,Tabela1[#All],9,0)*E978),AND(B978="Venda de produtos",H978="Nordeste"),(VLOOKUP(C978,Tabela1[#All],11,0)*E978),AND("Venda de produtos",H978="Norte/Centro-Oeste"),(VLOOKUP(C978,Tabela1[#All],13,0)*E978))))))</f>
        <v/>
      </c>
      <c r="G978" s="16" t="str">
        <f>IF(B978="Compra de estoque",VLOOKUP(C978,Tabela1[#All],4,0)*E978,"")</f>
        <v/>
      </c>
      <c r="H978" s="16"/>
    </row>
    <row r="979" spans="1:8" x14ac:dyDescent="0.25">
      <c r="A979" s="14" t="str">
        <f t="shared" ca="1" si="15"/>
        <v/>
      </c>
      <c r="D979" s="15" t="str">
        <f>IF(C979="","",VLOOKUP(C979,Tabela1[#All],2,0))</f>
        <v/>
      </c>
      <c r="F979" s="16" t="str" cm="1">
        <f t="array" ref="F979">IF(B979="","",(IF(B979="Compra de estoque","",(_xlfn.IFS(AND(B979="Venda de produtos",H979="Sul/Sudeste"),(VLOOKUP(C979,Tabela1[#All],9,0)*E979),AND(B979="Venda de produtos",H979="Nordeste"),(VLOOKUP(C979,Tabela1[#All],11,0)*E979),AND("Venda de produtos",H979="Norte/Centro-Oeste"),(VLOOKUP(C979,Tabela1[#All],13,0)*E979))))))</f>
        <v/>
      </c>
      <c r="G979" s="16" t="str">
        <f>IF(B979="Compra de estoque",VLOOKUP(C979,Tabela1[#All],4,0)*E979,"")</f>
        <v/>
      </c>
      <c r="H979" s="16"/>
    </row>
    <row r="980" spans="1:8" x14ac:dyDescent="0.25">
      <c r="A980" s="14" t="str">
        <f t="shared" ca="1" si="15"/>
        <v/>
      </c>
      <c r="D980" s="15" t="str">
        <f>IF(C980="","",VLOOKUP(C980,Tabela1[#All],2,0))</f>
        <v/>
      </c>
      <c r="F980" s="16" t="str" cm="1">
        <f t="array" ref="F980">IF(B980="","",(IF(B980="Compra de estoque","",(_xlfn.IFS(AND(B980="Venda de produtos",H980="Sul/Sudeste"),(VLOOKUP(C980,Tabela1[#All],9,0)*E980),AND(B980="Venda de produtos",H980="Nordeste"),(VLOOKUP(C980,Tabela1[#All],11,0)*E980),AND("Venda de produtos",H980="Norte/Centro-Oeste"),(VLOOKUP(C980,Tabela1[#All],13,0)*E980))))))</f>
        <v/>
      </c>
      <c r="G980" s="16" t="str">
        <f>IF(B980="Compra de estoque",VLOOKUP(C980,Tabela1[#All],4,0)*E980,"")</f>
        <v/>
      </c>
      <c r="H980" s="16"/>
    </row>
    <row r="981" spans="1:8" x14ac:dyDescent="0.25">
      <c r="A981" s="14" t="str">
        <f t="shared" ca="1" si="15"/>
        <v/>
      </c>
      <c r="D981" s="15" t="str">
        <f>IF(C981="","",VLOOKUP(C981,Tabela1[#All],2,0))</f>
        <v/>
      </c>
      <c r="F981" s="16" t="str" cm="1">
        <f t="array" ref="F981">IF(B981="","",(IF(B981="Compra de estoque","",(_xlfn.IFS(AND(B981="Venda de produtos",H981="Sul/Sudeste"),(VLOOKUP(C981,Tabela1[#All],9,0)*E981),AND(B981="Venda de produtos",H981="Nordeste"),(VLOOKUP(C981,Tabela1[#All],11,0)*E981),AND("Venda de produtos",H981="Norte/Centro-Oeste"),(VLOOKUP(C981,Tabela1[#All],13,0)*E981))))))</f>
        <v/>
      </c>
      <c r="G981" s="16" t="str">
        <f>IF(B981="Compra de estoque",VLOOKUP(C981,Tabela1[#All],4,0)*E981,"")</f>
        <v/>
      </c>
      <c r="H981" s="16"/>
    </row>
    <row r="982" spans="1:8" x14ac:dyDescent="0.25">
      <c r="A982" s="14" t="str">
        <f t="shared" ca="1" si="15"/>
        <v/>
      </c>
      <c r="D982" s="15" t="str">
        <f>IF(C982="","",VLOOKUP(C982,Tabela1[#All],2,0))</f>
        <v/>
      </c>
      <c r="F982" s="16" t="str" cm="1">
        <f t="array" ref="F982">IF(B982="","",(IF(B982="Compra de estoque","",(_xlfn.IFS(AND(B982="Venda de produtos",H982="Sul/Sudeste"),(VLOOKUP(C982,Tabela1[#All],9,0)*E982),AND(B982="Venda de produtos",H982="Nordeste"),(VLOOKUP(C982,Tabela1[#All],11,0)*E982),AND("Venda de produtos",H982="Norte/Centro-Oeste"),(VLOOKUP(C982,Tabela1[#All],13,0)*E982))))))</f>
        <v/>
      </c>
      <c r="G982" s="16" t="str">
        <f>IF(B982="Compra de estoque",VLOOKUP(C982,Tabela1[#All],4,0)*E982,"")</f>
        <v/>
      </c>
      <c r="H982" s="16"/>
    </row>
    <row r="983" spans="1:8" x14ac:dyDescent="0.25">
      <c r="A983" s="14" t="str">
        <f t="shared" ca="1" si="15"/>
        <v/>
      </c>
      <c r="D983" s="15" t="str">
        <f>IF(C983="","",VLOOKUP(C983,Tabela1[#All],2,0))</f>
        <v/>
      </c>
      <c r="F983" s="16" t="str" cm="1">
        <f t="array" ref="F983">IF(B983="","",(IF(B983="Compra de estoque","",(_xlfn.IFS(AND(B983="Venda de produtos",H983="Sul/Sudeste"),(VLOOKUP(C983,Tabela1[#All],9,0)*E983),AND(B983="Venda de produtos",H983="Nordeste"),(VLOOKUP(C983,Tabela1[#All],11,0)*E983),AND("Venda de produtos",H983="Norte/Centro-Oeste"),(VLOOKUP(C983,Tabela1[#All],13,0)*E983))))))</f>
        <v/>
      </c>
      <c r="G983" s="16" t="str">
        <f>IF(B983="Compra de estoque",VLOOKUP(C983,Tabela1[#All],4,0)*E983,"")</f>
        <v/>
      </c>
      <c r="H983" s="16"/>
    </row>
    <row r="984" spans="1:8" x14ac:dyDescent="0.25">
      <c r="A984" s="14" t="str">
        <f t="shared" ca="1" si="15"/>
        <v/>
      </c>
      <c r="D984" s="15" t="str">
        <f>IF(C984="","",VLOOKUP(C984,Tabela1[#All],2,0))</f>
        <v/>
      </c>
      <c r="F984" s="16" t="str" cm="1">
        <f t="array" ref="F984">IF(B984="","",(IF(B984="Compra de estoque","",(_xlfn.IFS(AND(B984="Venda de produtos",H984="Sul/Sudeste"),(VLOOKUP(C984,Tabela1[#All],9,0)*E984),AND(B984="Venda de produtos",H984="Nordeste"),(VLOOKUP(C984,Tabela1[#All],11,0)*E984),AND("Venda de produtos",H984="Norte/Centro-Oeste"),(VLOOKUP(C984,Tabela1[#All],13,0)*E984))))))</f>
        <v/>
      </c>
      <c r="G984" s="16" t="str">
        <f>IF(B984="Compra de estoque",VLOOKUP(C984,Tabela1[#All],4,0)*E984,"")</f>
        <v/>
      </c>
      <c r="H984" s="16"/>
    </row>
    <row r="985" spans="1:8" x14ac:dyDescent="0.25">
      <c r="A985" s="14" t="str">
        <f t="shared" ca="1" si="15"/>
        <v/>
      </c>
      <c r="D985" s="15" t="str">
        <f>IF(C985="","",VLOOKUP(C985,Tabela1[#All],2,0))</f>
        <v/>
      </c>
      <c r="F985" s="16" t="str" cm="1">
        <f t="array" ref="F985">IF(B985="","",(IF(B985="Compra de estoque","",(_xlfn.IFS(AND(B985="Venda de produtos",H985="Sul/Sudeste"),(VLOOKUP(C985,Tabela1[#All],9,0)*E985),AND(B985="Venda de produtos",H985="Nordeste"),(VLOOKUP(C985,Tabela1[#All],11,0)*E985),AND("Venda de produtos",H985="Norte/Centro-Oeste"),(VLOOKUP(C985,Tabela1[#All],13,0)*E985))))))</f>
        <v/>
      </c>
      <c r="G985" s="16" t="str">
        <f>IF(B985="Compra de estoque",VLOOKUP(C985,Tabela1[#All],4,0)*E985,"")</f>
        <v/>
      </c>
      <c r="H985" s="16"/>
    </row>
    <row r="986" spans="1:8" x14ac:dyDescent="0.25">
      <c r="A986" s="14" t="str">
        <f t="shared" ca="1" si="15"/>
        <v/>
      </c>
      <c r="D986" s="15" t="str">
        <f>IF(C986="","",VLOOKUP(C986,Tabela1[#All],2,0))</f>
        <v/>
      </c>
      <c r="F986" s="16" t="str" cm="1">
        <f t="array" ref="F986">IF(B986="","",(IF(B986="Compra de estoque","",(_xlfn.IFS(AND(B986="Venda de produtos",H986="Sul/Sudeste"),(VLOOKUP(C986,Tabela1[#All],9,0)*E986),AND(B986="Venda de produtos",H986="Nordeste"),(VLOOKUP(C986,Tabela1[#All],11,0)*E986),AND("Venda de produtos",H986="Norte/Centro-Oeste"),(VLOOKUP(C986,Tabela1[#All],13,0)*E986))))))</f>
        <v/>
      </c>
      <c r="G986" s="16" t="str">
        <f>IF(B986="Compra de estoque",VLOOKUP(C986,Tabela1[#All],4,0)*E986,"")</f>
        <v/>
      </c>
      <c r="H986" s="16"/>
    </row>
    <row r="987" spans="1:8" x14ac:dyDescent="0.25">
      <c r="A987" s="14" t="str">
        <f t="shared" ca="1" si="15"/>
        <v/>
      </c>
      <c r="D987" s="15" t="str">
        <f>IF(C987="","",VLOOKUP(C987,Tabela1[#All],2,0))</f>
        <v/>
      </c>
      <c r="F987" s="16" t="str" cm="1">
        <f t="array" ref="F987">IF(B987="","",(IF(B987="Compra de estoque","",(_xlfn.IFS(AND(B987="Venda de produtos",H987="Sul/Sudeste"),(VLOOKUP(C987,Tabela1[#All],9,0)*E987),AND(B987="Venda de produtos",H987="Nordeste"),(VLOOKUP(C987,Tabela1[#All],11,0)*E987),AND("Venda de produtos",H987="Norte/Centro-Oeste"),(VLOOKUP(C987,Tabela1[#All],13,0)*E987))))))</f>
        <v/>
      </c>
      <c r="G987" s="16" t="str">
        <f>IF(B987="Compra de estoque",VLOOKUP(C987,Tabela1[#All],4,0)*E987,"")</f>
        <v/>
      </c>
      <c r="H987" s="16"/>
    </row>
    <row r="988" spans="1:8" x14ac:dyDescent="0.25">
      <c r="A988" s="14" t="str">
        <f t="shared" ca="1" si="15"/>
        <v/>
      </c>
      <c r="D988" s="15" t="str">
        <f>IF(C988="","",VLOOKUP(C988,Tabela1[#All],2,0))</f>
        <v/>
      </c>
      <c r="F988" s="16" t="str" cm="1">
        <f t="array" ref="F988">IF(B988="","",(IF(B988="Compra de estoque","",(_xlfn.IFS(AND(B988="Venda de produtos",H988="Sul/Sudeste"),(VLOOKUP(C988,Tabela1[#All],9,0)*E988),AND(B988="Venda de produtos",H988="Nordeste"),(VLOOKUP(C988,Tabela1[#All],11,0)*E988),AND("Venda de produtos",H988="Norte/Centro-Oeste"),(VLOOKUP(C988,Tabela1[#All],13,0)*E988))))))</f>
        <v/>
      </c>
      <c r="G988" s="16" t="str">
        <f>IF(B988="Compra de estoque",VLOOKUP(C988,Tabela1[#All],4,0)*E988,"")</f>
        <v/>
      </c>
      <c r="H988" s="16"/>
    </row>
    <row r="989" spans="1:8" x14ac:dyDescent="0.25">
      <c r="A989" s="14" t="str">
        <f t="shared" ca="1" si="15"/>
        <v/>
      </c>
      <c r="D989" s="15" t="str">
        <f>IF(C989="","",VLOOKUP(C989,Tabela1[#All],2,0))</f>
        <v/>
      </c>
      <c r="F989" s="16" t="str" cm="1">
        <f t="array" ref="F989">IF(B989="","",(IF(B989="Compra de estoque","",(_xlfn.IFS(AND(B989="Venda de produtos",H989="Sul/Sudeste"),(VLOOKUP(C989,Tabela1[#All],9,0)*E989),AND(B989="Venda de produtos",H989="Nordeste"),(VLOOKUP(C989,Tabela1[#All],11,0)*E989),AND("Venda de produtos",H989="Norte/Centro-Oeste"),(VLOOKUP(C989,Tabela1[#All],13,0)*E989))))))</f>
        <v/>
      </c>
      <c r="G989" s="16" t="str">
        <f>IF(B989="Compra de estoque",VLOOKUP(C989,Tabela1[#All],4,0)*E989,"")</f>
        <v/>
      </c>
      <c r="H989" s="16"/>
    </row>
    <row r="990" spans="1:8" x14ac:dyDescent="0.25">
      <c r="A990" s="14" t="str">
        <f t="shared" ca="1" si="15"/>
        <v/>
      </c>
      <c r="D990" s="15" t="str">
        <f>IF(C990="","",VLOOKUP(C990,Tabela1[#All],2,0))</f>
        <v/>
      </c>
      <c r="F990" s="16" t="str" cm="1">
        <f t="array" ref="F990">IF(B990="","",(IF(B990="Compra de estoque","",(_xlfn.IFS(AND(B990="Venda de produtos",H990="Sul/Sudeste"),(VLOOKUP(C990,Tabela1[#All],9,0)*E990),AND(B990="Venda de produtos",H990="Nordeste"),(VLOOKUP(C990,Tabela1[#All],11,0)*E990),AND("Venda de produtos",H990="Norte/Centro-Oeste"),(VLOOKUP(C990,Tabela1[#All],13,0)*E990))))))</f>
        <v/>
      </c>
      <c r="G990" s="16" t="str">
        <f>IF(B990="Compra de estoque",VLOOKUP(C990,Tabela1[#All],4,0)*E990,"")</f>
        <v/>
      </c>
      <c r="H990" s="16"/>
    </row>
    <row r="991" spans="1:8" x14ac:dyDescent="0.25">
      <c r="A991" s="14" t="str">
        <f t="shared" ca="1" si="15"/>
        <v/>
      </c>
      <c r="D991" s="15" t="str">
        <f>IF(C991="","",VLOOKUP(C991,Tabela1[#All],2,0))</f>
        <v/>
      </c>
      <c r="F991" s="16" t="str" cm="1">
        <f t="array" ref="F991">IF(B991="","",(IF(B991="Compra de estoque","",(_xlfn.IFS(AND(B991="Venda de produtos",H991="Sul/Sudeste"),(VLOOKUP(C991,Tabela1[#All],9,0)*E991),AND(B991="Venda de produtos",H991="Nordeste"),(VLOOKUP(C991,Tabela1[#All],11,0)*E991),AND("Venda de produtos",H991="Norte/Centro-Oeste"),(VLOOKUP(C991,Tabela1[#All],13,0)*E991))))))</f>
        <v/>
      </c>
      <c r="G991" s="16" t="str">
        <f>IF(B991="Compra de estoque",VLOOKUP(C991,Tabela1[#All],4,0)*E991,"")</f>
        <v/>
      </c>
      <c r="H991" s="16"/>
    </row>
    <row r="992" spans="1:8" x14ac:dyDescent="0.25">
      <c r="A992" s="14" t="str">
        <f t="shared" ca="1" si="15"/>
        <v/>
      </c>
      <c r="D992" s="15" t="str">
        <f>IF(C992="","",VLOOKUP(C992,Tabela1[#All],2,0))</f>
        <v/>
      </c>
      <c r="F992" s="16" t="str" cm="1">
        <f t="array" ref="F992">IF(B992="","",(IF(B992="Compra de estoque","",(_xlfn.IFS(AND(B992="Venda de produtos",H992="Sul/Sudeste"),(VLOOKUP(C992,Tabela1[#All],9,0)*E992),AND(B992="Venda de produtos",H992="Nordeste"),(VLOOKUP(C992,Tabela1[#All],11,0)*E992),AND("Venda de produtos",H992="Norte/Centro-Oeste"),(VLOOKUP(C992,Tabela1[#All],13,0)*E992))))))</f>
        <v/>
      </c>
      <c r="G992" s="16" t="str">
        <f>IF(B992="Compra de estoque",VLOOKUP(C992,Tabela1[#All],4,0)*E992,"")</f>
        <v/>
      </c>
      <c r="H992" s="16"/>
    </row>
    <row r="993" spans="1:8" x14ac:dyDescent="0.25">
      <c r="A993" s="14" t="str">
        <f t="shared" ca="1" si="15"/>
        <v/>
      </c>
      <c r="D993" s="15" t="str">
        <f>IF(C993="","",VLOOKUP(C993,Tabela1[#All],2,0))</f>
        <v/>
      </c>
      <c r="F993" s="16" t="str" cm="1">
        <f t="array" ref="F993">IF(B993="","",(IF(B993="Compra de estoque","",(_xlfn.IFS(AND(B993="Venda de produtos",H993="Sul/Sudeste"),(VLOOKUP(C993,Tabela1[#All],9,0)*E993),AND(B993="Venda de produtos",H993="Nordeste"),(VLOOKUP(C993,Tabela1[#All],11,0)*E993),AND("Venda de produtos",H993="Norte/Centro-Oeste"),(VLOOKUP(C993,Tabela1[#All],13,0)*E993))))))</f>
        <v/>
      </c>
      <c r="G993" s="16" t="str">
        <f>IF(B993="Compra de estoque",VLOOKUP(C993,Tabela1[#All],4,0)*E993,"")</f>
        <v/>
      </c>
      <c r="H993" s="16"/>
    </row>
    <row r="994" spans="1:8" x14ac:dyDescent="0.25">
      <c r="A994" s="14" t="str">
        <f t="shared" ca="1" si="15"/>
        <v/>
      </c>
      <c r="D994" s="15" t="str">
        <f>IF(C994="","",VLOOKUP(C994,Tabela1[#All],2,0))</f>
        <v/>
      </c>
      <c r="F994" s="16" t="str" cm="1">
        <f t="array" ref="F994">IF(B994="","",(IF(B994="Compra de estoque","",(_xlfn.IFS(AND(B994="Venda de produtos",H994="Sul/Sudeste"),(VLOOKUP(C994,Tabela1[#All],9,0)*E994),AND(B994="Venda de produtos",H994="Nordeste"),(VLOOKUP(C994,Tabela1[#All],11,0)*E994),AND("Venda de produtos",H994="Norte/Centro-Oeste"),(VLOOKUP(C994,Tabela1[#All],13,0)*E994))))))</f>
        <v/>
      </c>
      <c r="G994" s="16" t="str">
        <f>IF(B994="Compra de estoque",VLOOKUP(C994,Tabela1[#All],4,0)*E994,"")</f>
        <v/>
      </c>
      <c r="H994" s="16"/>
    </row>
    <row r="995" spans="1:8" x14ac:dyDescent="0.25">
      <c r="A995" s="14" t="str">
        <f t="shared" ca="1" si="15"/>
        <v/>
      </c>
      <c r="D995" s="15" t="str">
        <f>IF(C995="","",VLOOKUP(C995,Tabela1[#All],2,0))</f>
        <v/>
      </c>
      <c r="F995" s="16" t="str" cm="1">
        <f t="array" ref="F995">IF(B995="","",(IF(B995="Compra de estoque","",(_xlfn.IFS(AND(B995="Venda de produtos",H995="Sul/Sudeste"),(VLOOKUP(C995,Tabela1[#All],9,0)*E995),AND(B995="Venda de produtos",H995="Nordeste"),(VLOOKUP(C995,Tabela1[#All],11,0)*E995),AND("Venda de produtos",H995="Norte/Centro-Oeste"),(VLOOKUP(C995,Tabela1[#All],13,0)*E995))))))</f>
        <v/>
      </c>
      <c r="G995" s="16" t="str">
        <f>IF(B995="Compra de estoque",VLOOKUP(C995,Tabela1[#All],4,0)*E995,"")</f>
        <v/>
      </c>
      <c r="H995" s="16"/>
    </row>
    <row r="996" spans="1:8" x14ac:dyDescent="0.25">
      <c r="A996" s="14" t="str">
        <f t="shared" ca="1" si="15"/>
        <v/>
      </c>
      <c r="D996" s="15" t="str">
        <f>IF(C996="","",VLOOKUP(C996,Tabela1[#All],2,0))</f>
        <v/>
      </c>
      <c r="F996" s="16" t="str" cm="1">
        <f t="array" ref="F996">IF(B996="","",(IF(B996="Compra de estoque","",(_xlfn.IFS(AND(B996="Venda de produtos",H996="Sul/Sudeste"),(VLOOKUP(C996,Tabela1[#All],9,0)*E996),AND(B996="Venda de produtos",H996="Nordeste"),(VLOOKUP(C996,Tabela1[#All],11,0)*E996),AND("Venda de produtos",H996="Norte/Centro-Oeste"),(VLOOKUP(C996,Tabela1[#All],13,0)*E996))))))</f>
        <v/>
      </c>
      <c r="G996" s="16" t="str">
        <f>IF(B996="Compra de estoque",VLOOKUP(C996,Tabela1[#All],4,0)*E996,"")</f>
        <v/>
      </c>
      <c r="H996" s="16"/>
    </row>
    <row r="997" spans="1:8" x14ac:dyDescent="0.25">
      <c r="A997" s="14" t="str">
        <f t="shared" ca="1" si="15"/>
        <v/>
      </c>
      <c r="D997" s="15" t="str">
        <f>IF(C997="","",VLOOKUP(C997,Tabela1[#All],2,0))</f>
        <v/>
      </c>
      <c r="F997" s="16" t="str" cm="1">
        <f t="array" ref="F997">IF(B997="","",(IF(B997="Compra de estoque","",(_xlfn.IFS(AND(B997="Venda de produtos",H997="Sul/Sudeste"),(VLOOKUP(C997,Tabela1[#All],9,0)*E997),AND(B997="Venda de produtos",H997="Nordeste"),(VLOOKUP(C997,Tabela1[#All],11,0)*E997),AND("Venda de produtos",H997="Norte/Centro-Oeste"),(VLOOKUP(C997,Tabela1[#All],13,0)*E997))))))</f>
        <v/>
      </c>
      <c r="G997" s="16" t="str">
        <f>IF(B997="Compra de estoque",VLOOKUP(C997,Tabela1[#All],4,0)*E997,"")</f>
        <v/>
      </c>
      <c r="H997" s="16"/>
    </row>
    <row r="998" spans="1:8" x14ac:dyDescent="0.25">
      <c r="A998" s="14" t="str">
        <f t="shared" ca="1" si="15"/>
        <v/>
      </c>
      <c r="D998" s="15" t="str">
        <f>IF(C998="","",VLOOKUP(C998,Tabela1[#All],2,0))</f>
        <v/>
      </c>
      <c r="F998" s="16" t="str" cm="1">
        <f t="array" ref="F998">IF(B998="","",(IF(B998="Compra de estoque","",(_xlfn.IFS(AND(B998="Venda de produtos",H998="Sul/Sudeste"),(VLOOKUP(C998,Tabela1[#All],9,0)*E998),AND(B998="Venda de produtos",H998="Nordeste"),(VLOOKUP(C998,Tabela1[#All],11,0)*E998),AND("Venda de produtos",H998="Norte/Centro-Oeste"),(VLOOKUP(C998,Tabela1[#All],13,0)*E998))))))</f>
        <v/>
      </c>
      <c r="G998" s="16" t="str">
        <f>IF(B998="Compra de estoque",VLOOKUP(C998,Tabela1[#All],4,0)*E998,"")</f>
        <v/>
      </c>
      <c r="H998" s="16"/>
    </row>
    <row r="999" spans="1:8" x14ac:dyDescent="0.25">
      <c r="A999" s="14" t="str">
        <f t="shared" ca="1" si="15"/>
        <v/>
      </c>
      <c r="D999" s="15" t="str">
        <f>IF(C999="","",VLOOKUP(C999,Tabela1[#All],2,0))</f>
        <v/>
      </c>
      <c r="F999" s="16" t="str" cm="1">
        <f t="array" ref="F999">IF(B999="","",(IF(B999="Compra de estoque","",(_xlfn.IFS(AND(B999="Venda de produtos",H999="Sul/Sudeste"),(VLOOKUP(C999,Tabela1[#All],9,0)*E999),AND(B999="Venda de produtos",H999="Nordeste"),(VLOOKUP(C999,Tabela1[#All],11,0)*E999),AND("Venda de produtos",H999="Norte/Centro-Oeste"),(VLOOKUP(C999,Tabela1[#All],13,0)*E999))))))</f>
        <v/>
      </c>
      <c r="G999" s="16" t="str">
        <f>IF(B999="Compra de estoque",VLOOKUP(C999,Tabela1[#All],4,0)*E999,"")</f>
        <v/>
      </c>
      <c r="H999" s="16"/>
    </row>
    <row r="1000" spans="1:8" x14ac:dyDescent="0.25">
      <c r="A1000" s="14" t="str">
        <f t="shared" ca="1" si="15"/>
        <v/>
      </c>
      <c r="D1000" s="15" t="str">
        <f>IF(C1000="","",VLOOKUP(C1000,Tabela1[#All],2,0))</f>
        <v/>
      </c>
      <c r="F1000" s="16" t="str" cm="1">
        <f t="array" ref="F1000">IF(B1000="","",(IF(B1000="Compra de estoque","",(_xlfn.IFS(AND(B1000="Venda de produtos",H1000="Sul/Sudeste"),(VLOOKUP(C1000,Tabela1[#All],9,0)*E1000),AND(B1000="Venda de produtos",H1000="Nordeste"),(VLOOKUP(C1000,Tabela1[#All],11,0)*E1000),AND("Venda de produtos",H1000="Norte/Centro-Oeste"),(VLOOKUP(C1000,Tabela1[#All],13,0)*E1000))))))</f>
        <v/>
      </c>
      <c r="G1000" s="16" t="str">
        <f>IF(B1000="Compra de estoque",VLOOKUP(C1000,Tabela1[#All],4,0)*E1000,"")</f>
        <v/>
      </c>
      <c r="H1000" s="16"/>
    </row>
    <row r="1001" spans="1:8" x14ac:dyDescent="0.25">
      <c r="A1001" s="14" t="str">
        <f t="shared" ca="1" si="15"/>
        <v/>
      </c>
      <c r="D1001" s="15" t="str">
        <f>IF(C1001="","",VLOOKUP(C1001,Tabela1[#All],2,0))</f>
        <v/>
      </c>
      <c r="F1001" s="16" t="str" cm="1">
        <f t="array" ref="F1001">IF(B1001="","",(IF(B1001="Compra de estoque","",(_xlfn.IFS(AND(B1001="Venda de produtos",H1001="Sul/Sudeste"),(VLOOKUP(C1001,Tabela1[#All],9,0)*E1001),AND(B1001="Venda de produtos",H1001="Nordeste"),(VLOOKUP(C1001,Tabela1[#All],11,0)*E1001),AND("Venda de produtos",H1001="Norte/Centro-Oeste"),(VLOOKUP(C1001,Tabela1[#All],13,0)*E1001))))))</f>
        <v/>
      </c>
      <c r="G1001" s="16" t="str">
        <f>IF(B1001="Compra de estoque",VLOOKUP(C1001,Tabela1[#All],4,0)*E1001,"")</f>
        <v/>
      </c>
      <c r="H1001" s="16"/>
    </row>
    <row r="1002" spans="1:8" x14ac:dyDescent="0.25">
      <c r="A1002" s="14" t="str">
        <f t="shared" ca="1" si="15"/>
        <v/>
      </c>
      <c r="D1002" s="15" t="str">
        <f>IF(C1002="","",VLOOKUP(C1002,Tabela1[#All],2,0))</f>
        <v/>
      </c>
      <c r="F1002" s="16" t="str" cm="1">
        <f t="array" ref="F1002">IF(B1002="","",(IF(B1002="Compra de estoque","",(_xlfn.IFS(AND(B1002="Venda de produtos",H1002="Sul/Sudeste"),(VLOOKUP(C1002,Tabela1[#All],9,0)*E1002),AND(B1002="Venda de produtos",H1002="Nordeste"),(VLOOKUP(C1002,Tabela1[#All],11,0)*E1002),AND("Venda de produtos",H1002="Norte/Centro-Oeste"),(VLOOKUP(C1002,Tabela1[#All],13,0)*E1002))))))</f>
        <v/>
      </c>
      <c r="G1002" s="16" t="str">
        <f>IF(B1002="Compra de estoque",VLOOKUP(C1002,Tabela1[#All],4,0)*E1002,"")</f>
        <v/>
      </c>
      <c r="H1002" s="16"/>
    </row>
    <row r="1003" spans="1:8" x14ac:dyDescent="0.25">
      <c r="A1003" s="14" t="str">
        <f t="shared" ca="1" si="15"/>
        <v/>
      </c>
      <c r="D1003" s="15" t="str">
        <f>IF(C1003="","",VLOOKUP(C1003,Tabela1[#All],2,0))</f>
        <v/>
      </c>
      <c r="F1003" s="16" t="str" cm="1">
        <f t="array" ref="F1003">IF(B1003="","",(IF(B1003="Compra de estoque","",(_xlfn.IFS(AND(B1003="Venda de produtos",H1003="Sul/Sudeste"),(VLOOKUP(C1003,Tabela1[#All],9,0)*E1003),AND(B1003="Venda de produtos",H1003="Nordeste"),(VLOOKUP(C1003,Tabela1[#All],11,0)*E1003),AND("Venda de produtos",H1003="Norte/Centro-Oeste"),(VLOOKUP(C1003,Tabela1[#All],13,0)*E1003))))))</f>
        <v/>
      </c>
      <c r="G1003" s="16" t="str">
        <f>IF(B1003="Compra de estoque",VLOOKUP(C1003,Tabela1[#All],4,0)*E1003,"")</f>
        <v/>
      </c>
      <c r="H1003" s="16"/>
    </row>
    <row r="1004" spans="1:8" x14ac:dyDescent="0.25">
      <c r="A1004" s="14" t="str">
        <f t="shared" ca="1" si="15"/>
        <v/>
      </c>
      <c r="D1004" s="15" t="str">
        <f>IF(C1004="","",VLOOKUP(C1004,Tabela1[#All],2,0))</f>
        <v/>
      </c>
      <c r="F1004" s="16" t="str" cm="1">
        <f t="array" ref="F1004">IF(B1004="","",(IF(B1004="Compra de estoque","",(_xlfn.IFS(AND(B1004="Venda de produtos",H1004="Sul/Sudeste"),(VLOOKUP(C1004,Tabela1[#All],9,0)*E1004),AND(B1004="Venda de produtos",H1004="Nordeste"),(VLOOKUP(C1004,Tabela1[#All],11,0)*E1004),AND("Venda de produtos",H1004="Norte/Centro-Oeste"),(VLOOKUP(C1004,Tabela1[#All],13,0)*E1004))))))</f>
        <v/>
      </c>
      <c r="G1004" s="16" t="str">
        <f>IF(B1004="Compra de estoque",VLOOKUP(C1004,Tabela1[#All],4,0)*E1004,"")</f>
        <v/>
      </c>
      <c r="H1004" s="16"/>
    </row>
    <row r="1005" spans="1:8" x14ac:dyDescent="0.25">
      <c r="A1005" s="14" t="str">
        <f t="shared" ca="1" si="15"/>
        <v/>
      </c>
      <c r="D1005" s="15" t="str">
        <f>IF(C1005="","",VLOOKUP(C1005,Tabela1[#All],2,0))</f>
        <v/>
      </c>
      <c r="F1005" s="16" t="str" cm="1">
        <f t="array" ref="F1005">IF(B1005="","",(IF(B1005="Compra de estoque","",(_xlfn.IFS(AND(B1005="Venda de produtos",H1005="Sul/Sudeste"),(VLOOKUP(C1005,Tabela1[#All],9,0)*E1005),AND(B1005="Venda de produtos",H1005="Nordeste"),(VLOOKUP(C1005,Tabela1[#All],11,0)*E1005),AND("Venda de produtos",H1005="Norte/Centro-Oeste"),(VLOOKUP(C1005,Tabela1[#All],13,0)*E1005))))))</f>
        <v/>
      </c>
      <c r="G1005" s="16" t="str">
        <f>IF(B1005="Compra de estoque",VLOOKUP(C1005,Tabela1[#All],4,0)*E1005,"")</f>
        <v/>
      </c>
      <c r="H1005" s="16"/>
    </row>
    <row r="1006" spans="1:8" x14ac:dyDescent="0.25">
      <c r="A1006" s="14" t="str">
        <f t="shared" ca="1" si="15"/>
        <v/>
      </c>
      <c r="D1006" s="15" t="str">
        <f>IF(C1006="","",VLOOKUP(C1006,Tabela1[#All],2,0))</f>
        <v/>
      </c>
      <c r="F1006" s="16" t="str" cm="1">
        <f t="array" ref="F1006">IF(B1006="","",(IF(B1006="Compra de estoque","",(_xlfn.IFS(AND(B1006="Venda de produtos",H1006="Sul/Sudeste"),(VLOOKUP(C1006,Tabela1[#All],9,0)*E1006),AND(B1006="Venda de produtos",H1006="Nordeste"),(VLOOKUP(C1006,Tabela1[#All],11,0)*E1006),AND("Venda de produtos",H1006="Norte/Centro-Oeste"),(VLOOKUP(C1006,Tabela1[#All],13,0)*E1006))))))</f>
        <v/>
      </c>
      <c r="G1006" s="16" t="str">
        <f>IF(B1006="Compra de estoque",VLOOKUP(C1006,Tabela1[#All],4,0)*E1006,"")</f>
        <v/>
      </c>
      <c r="H1006" s="16"/>
    </row>
    <row r="1007" spans="1:8" x14ac:dyDescent="0.25">
      <c r="A1007" s="14" t="str">
        <f t="shared" ca="1" si="15"/>
        <v/>
      </c>
      <c r="D1007" s="15" t="str">
        <f>IF(C1007="","",VLOOKUP(C1007,Tabela1[#All],2,0))</f>
        <v/>
      </c>
      <c r="F1007" s="16" t="str" cm="1">
        <f t="array" ref="F1007">IF(B1007="","",(IF(B1007="Compra de estoque","",(_xlfn.IFS(AND(B1007="Venda de produtos",H1007="Sul/Sudeste"),(VLOOKUP(C1007,Tabela1[#All],9,0)*E1007),AND(B1007="Venda de produtos",H1007="Nordeste"),(VLOOKUP(C1007,Tabela1[#All],11,0)*E1007),AND("Venda de produtos",H1007="Norte/Centro-Oeste"),(VLOOKUP(C1007,Tabela1[#All],13,0)*E1007))))))</f>
        <v/>
      </c>
      <c r="G1007" s="16" t="str">
        <f>IF(B1007="Compra de estoque",VLOOKUP(C1007,Tabela1[#All],4,0)*E1007,"")</f>
        <v/>
      </c>
      <c r="H1007" s="16"/>
    </row>
    <row r="1008" spans="1:8" x14ac:dyDescent="0.25">
      <c r="A1008" s="14" t="str">
        <f t="shared" ca="1" si="15"/>
        <v/>
      </c>
      <c r="D1008" s="15" t="str">
        <f>IF(C1008="","",VLOOKUP(C1008,Tabela1[#All],2,0))</f>
        <v/>
      </c>
      <c r="F1008" s="16" t="str" cm="1">
        <f t="array" ref="F1008">IF(B1008="","",(IF(B1008="Compra de estoque","",(_xlfn.IFS(AND(B1008="Venda de produtos",H1008="Sul/Sudeste"),(VLOOKUP(C1008,Tabela1[#All],9,0)*E1008),AND(B1008="Venda de produtos",H1008="Nordeste"),(VLOOKUP(C1008,Tabela1[#All],11,0)*E1008),AND("Venda de produtos",H1008="Norte/Centro-Oeste"),(VLOOKUP(C1008,Tabela1[#All],13,0)*E1008))))))</f>
        <v/>
      </c>
      <c r="G1008" s="16" t="str">
        <f>IF(B1008="Compra de estoque",VLOOKUP(C1008,Tabela1[#All],4,0)*E1008,"")</f>
        <v/>
      </c>
      <c r="H1008" s="16"/>
    </row>
    <row r="1009" spans="1:8" x14ac:dyDescent="0.25">
      <c r="A1009" s="14" t="str">
        <f t="shared" ca="1" si="15"/>
        <v/>
      </c>
      <c r="D1009" s="15" t="str">
        <f>IF(C1009="","",VLOOKUP(C1009,Tabela1[#All],2,0))</f>
        <v/>
      </c>
      <c r="F1009" s="16" t="str" cm="1">
        <f t="array" ref="F1009">IF(B1009="","",(IF(B1009="Compra de estoque","",(_xlfn.IFS(AND(B1009="Venda de produtos",H1009="Sul/Sudeste"),(VLOOKUP(C1009,Tabela1[#All],9,0)*E1009),AND(B1009="Venda de produtos",H1009="Nordeste"),(VLOOKUP(C1009,Tabela1[#All],11,0)*E1009),AND("Venda de produtos",H1009="Norte/Centro-Oeste"),(VLOOKUP(C1009,Tabela1[#All],13,0)*E1009))))))</f>
        <v/>
      </c>
      <c r="G1009" s="16" t="str">
        <f>IF(B1009="Compra de estoque",VLOOKUP(C1009,Tabela1[#All],4,0)*E1009,"")</f>
        <v/>
      </c>
      <c r="H1009" s="16"/>
    </row>
    <row r="1010" spans="1:8" x14ac:dyDescent="0.25">
      <c r="A1010" s="14" t="str">
        <f t="shared" ca="1" si="15"/>
        <v/>
      </c>
      <c r="D1010" s="15" t="str">
        <f>IF(C1010="","",VLOOKUP(C1010,Tabela1[#All],2,0))</f>
        <v/>
      </c>
      <c r="F1010" s="16" t="str" cm="1">
        <f t="array" ref="F1010">IF(B1010="","",(IF(B1010="Compra de estoque","",(_xlfn.IFS(AND(B1010="Venda de produtos",H1010="Sul/Sudeste"),(VLOOKUP(C1010,Tabela1[#All],9,0)*E1010),AND(B1010="Venda de produtos",H1010="Nordeste"),(VLOOKUP(C1010,Tabela1[#All],11,0)*E1010),AND("Venda de produtos",H1010="Norte/Centro-Oeste"),(VLOOKUP(C1010,Tabela1[#All],13,0)*E1010))))))</f>
        <v/>
      </c>
      <c r="G1010" s="16" t="str">
        <f>IF(B1010="Compra de estoque",VLOOKUP(C1010,Tabela1[#All],4,0)*E1010,"")</f>
        <v/>
      </c>
      <c r="H1010" s="16"/>
    </row>
    <row r="1011" spans="1:8" x14ac:dyDescent="0.25">
      <c r="A1011" s="14" t="str">
        <f t="shared" ca="1" si="15"/>
        <v/>
      </c>
      <c r="D1011" s="15" t="str">
        <f>IF(C1011="","",VLOOKUP(C1011,Tabela1[#All],2,0))</f>
        <v/>
      </c>
      <c r="F1011" s="16" t="str" cm="1">
        <f t="array" ref="F1011">IF(B1011="","",(IF(B1011="Compra de estoque","",(_xlfn.IFS(AND(B1011="Venda de produtos",H1011="Sul/Sudeste"),(VLOOKUP(C1011,Tabela1[#All],9,0)*E1011),AND(B1011="Venda de produtos",H1011="Nordeste"),(VLOOKUP(C1011,Tabela1[#All],11,0)*E1011),AND("Venda de produtos",H1011="Norte/Centro-Oeste"),(VLOOKUP(C1011,Tabela1[#All],13,0)*E1011))))))</f>
        <v/>
      </c>
      <c r="G1011" s="16" t="str">
        <f>IF(B1011="Compra de estoque",VLOOKUP(C1011,Tabela1[#All],4,0)*E1011,"")</f>
        <v/>
      </c>
      <c r="H1011" s="16"/>
    </row>
    <row r="1012" spans="1:8" x14ac:dyDescent="0.25">
      <c r="A1012" s="14" t="str">
        <f t="shared" ca="1" si="15"/>
        <v/>
      </c>
      <c r="D1012" s="15" t="str">
        <f>IF(C1012="","",VLOOKUP(C1012,Tabela1[#All],2,0))</f>
        <v/>
      </c>
      <c r="F1012" s="16" t="str" cm="1">
        <f t="array" ref="F1012">IF(B1012="","",(IF(B1012="Compra de estoque","",(_xlfn.IFS(AND(B1012="Venda de produtos",H1012="Sul/Sudeste"),(VLOOKUP(C1012,Tabela1[#All],9,0)*E1012),AND(B1012="Venda de produtos",H1012="Nordeste"),(VLOOKUP(C1012,Tabela1[#All],11,0)*E1012),AND("Venda de produtos",H1012="Norte/Centro-Oeste"),(VLOOKUP(C1012,Tabela1[#All],13,0)*E1012))))))</f>
        <v/>
      </c>
      <c r="G1012" s="16" t="str">
        <f>IF(B1012="Compra de estoque",VLOOKUP(C1012,Tabela1[#All],4,0)*E1012,"")</f>
        <v/>
      </c>
      <c r="H1012" s="16"/>
    </row>
    <row r="1013" spans="1:8" x14ac:dyDescent="0.25">
      <c r="A1013" s="14" t="str">
        <f t="shared" ca="1" si="15"/>
        <v/>
      </c>
      <c r="D1013" s="15" t="str">
        <f>IF(C1013="","",VLOOKUP(C1013,Tabela1[#All],2,0))</f>
        <v/>
      </c>
      <c r="F1013" s="16" t="str" cm="1">
        <f t="array" ref="F1013">IF(B1013="","",(IF(B1013="Compra de estoque","",(_xlfn.IFS(AND(B1013="Venda de produtos",H1013="Sul/Sudeste"),(VLOOKUP(C1013,Tabela1[#All],9,0)*E1013),AND(B1013="Venda de produtos",H1013="Nordeste"),(VLOOKUP(C1013,Tabela1[#All],11,0)*E1013),AND("Venda de produtos",H1013="Norte/Centro-Oeste"),(VLOOKUP(C1013,Tabela1[#All],13,0)*E1013))))))</f>
        <v/>
      </c>
      <c r="G1013" s="16" t="str">
        <f>IF(B1013="Compra de estoque",VLOOKUP(C1013,Tabela1[#All],4,0)*E1013,"")</f>
        <v/>
      </c>
      <c r="H1013" s="16"/>
    </row>
    <row r="1014" spans="1:8" x14ac:dyDescent="0.25">
      <c r="A1014" s="14" t="str">
        <f t="shared" ca="1" si="15"/>
        <v/>
      </c>
      <c r="D1014" s="15" t="str">
        <f>IF(C1014="","",VLOOKUP(C1014,Tabela1[#All],2,0))</f>
        <v/>
      </c>
      <c r="F1014" s="16" t="str" cm="1">
        <f t="array" ref="F1014">IF(B1014="","",(IF(B1014="Compra de estoque","",(_xlfn.IFS(AND(B1014="Venda de produtos",H1014="Sul/Sudeste"),(VLOOKUP(C1014,Tabela1[#All],9,0)*E1014),AND(B1014="Venda de produtos",H1014="Nordeste"),(VLOOKUP(C1014,Tabela1[#All],11,0)*E1014),AND("Venda de produtos",H1014="Norte/Centro-Oeste"),(VLOOKUP(C1014,Tabela1[#All],13,0)*E1014))))))</f>
        <v/>
      </c>
      <c r="G1014" s="16" t="str">
        <f>IF(B1014="Compra de estoque",VLOOKUP(C1014,Tabela1[#All],4,0)*E1014,"")</f>
        <v/>
      </c>
      <c r="H1014" s="16"/>
    </row>
    <row r="1015" spans="1:8" x14ac:dyDescent="0.25">
      <c r="A1015" s="14" t="str">
        <f t="shared" ca="1" si="15"/>
        <v/>
      </c>
      <c r="D1015" s="15" t="str">
        <f>IF(C1015="","",VLOOKUP(C1015,Tabela1[#All],2,0))</f>
        <v/>
      </c>
      <c r="F1015" s="16" t="str" cm="1">
        <f t="array" ref="F1015">IF(B1015="","",(IF(B1015="Compra de estoque","",(_xlfn.IFS(AND(B1015="Venda de produtos",H1015="Sul/Sudeste"),(VLOOKUP(C1015,Tabela1[#All],9,0)*E1015),AND(B1015="Venda de produtos",H1015="Nordeste"),(VLOOKUP(C1015,Tabela1[#All],11,0)*E1015),AND("Venda de produtos",H1015="Norte/Centro-Oeste"),(VLOOKUP(C1015,Tabela1[#All],13,0)*E1015))))))</f>
        <v/>
      </c>
      <c r="G1015" s="16" t="str">
        <f>IF(B1015="Compra de estoque",VLOOKUP(C1015,Tabela1[#All],4,0)*E1015,"")</f>
        <v/>
      </c>
      <c r="H1015" s="16"/>
    </row>
    <row r="1016" spans="1:8" x14ac:dyDescent="0.25">
      <c r="A1016" s="14" t="str">
        <f t="shared" ca="1" si="15"/>
        <v/>
      </c>
      <c r="D1016" s="15" t="str">
        <f>IF(C1016="","",VLOOKUP(C1016,Tabela1[#All],2,0))</f>
        <v/>
      </c>
      <c r="F1016" s="16" t="str" cm="1">
        <f t="array" ref="F1016">IF(B1016="","",(IF(B1016="Compra de estoque","",(_xlfn.IFS(AND(B1016="Venda de produtos",H1016="Sul/Sudeste"),(VLOOKUP(C1016,Tabela1[#All],9,0)*E1016),AND(B1016="Venda de produtos",H1016="Nordeste"),(VLOOKUP(C1016,Tabela1[#All],11,0)*E1016),AND("Venda de produtos",H1016="Norte/Centro-Oeste"),(VLOOKUP(C1016,Tabela1[#All],13,0)*E1016))))))</f>
        <v/>
      </c>
      <c r="G1016" s="16" t="str">
        <f>IF(B1016="Compra de estoque",VLOOKUP(C1016,Tabela1[#All],4,0)*E1016,"")</f>
        <v/>
      </c>
      <c r="H1016" s="16"/>
    </row>
    <row r="1017" spans="1:8" x14ac:dyDescent="0.25">
      <c r="A1017" s="14" t="str">
        <f t="shared" ca="1" si="15"/>
        <v/>
      </c>
      <c r="D1017" s="15" t="str">
        <f>IF(C1017="","",VLOOKUP(C1017,Tabela1[#All],2,0))</f>
        <v/>
      </c>
      <c r="F1017" s="16" t="str" cm="1">
        <f t="array" ref="F1017">IF(B1017="","",(IF(B1017="Compra de estoque","",(_xlfn.IFS(AND(B1017="Venda de produtos",H1017="Sul/Sudeste"),(VLOOKUP(C1017,Tabela1[#All],9,0)*E1017),AND(B1017="Venda de produtos",H1017="Nordeste"),(VLOOKUP(C1017,Tabela1[#All],11,0)*E1017),AND("Venda de produtos",H1017="Norte/Centro-Oeste"),(VLOOKUP(C1017,Tabela1[#All],13,0)*E1017))))))</f>
        <v/>
      </c>
      <c r="G1017" s="16" t="str">
        <f>IF(B1017="Compra de estoque",VLOOKUP(C1017,Tabela1[#All],4,0)*E1017,"")</f>
        <v/>
      </c>
      <c r="H1017" s="16"/>
    </row>
    <row r="1018" spans="1:8" x14ac:dyDescent="0.25">
      <c r="A1018" s="14" t="str">
        <f t="shared" ca="1" si="15"/>
        <v/>
      </c>
      <c r="D1018" s="15" t="str">
        <f>IF(C1018="","",VLOOKUP(C1018,Tabela1[#All],2,0))</f>
        <v/>
      </c>
      <c r="F1018" s="16" t="str" cm="1">
        <f t="array" ref="F1018">IF(B1018="","",(IF(B1018="Compra de estoque","",(_xlfn.IFS(AND(B1018="Venda de produtos",H1018="Sul/Sudeste"),(VLOOKUP(C1018,Tabela1[#All],9,0)*E1018),AND(B1018="Venda de produtos",H1018="Nordeste"),(VLOOKUP(C1018,Tabela1[#All],11,0)*E1018),AND("Venda de produtos",H1018="Norte/Centro-Oeste"),(VLOOKUP(C1018,Tabela1[#All],13,0)*E1018))))))</f>
        <v/>
      </c>
      <c r="G1018" s="16" t="str">
        <f>IF(B1018="Compra de estoque",VLOOKUP(C1018,Tabela1[#All],4,0)*E1018,"")</f>
        <v/>
      </c>
      <c r="H1018" s="16"/>
    </row>
    <row r="1019" spans="1:8" x14ac:dyDescent="0.25">
      <c r="A1019" s="14" t="str">
        <f t="shared" ca="1" si="15"/>
        <v/>
      </c>
      <c r="D1019" s="15" t="str">
        <f>IF(C1019="","",VLOOKUP(C1019,Tabela1[#All],2,0))</f>
        <v/>
      </c>
      <c r="F1019" s="16" t="str" cm="1">
        <f t="array" ref="F1019">IF(B1019="","",(IF(B1019="Compra de estoque","",(_xlfn.IFS(AND(B1019="Venda de produtos",H1019="Sul/Sudeste"),(VLOOKUP(C1019,Tabela1[#All],9,0)*E1019),AND(B1019="Venda de produtos",H1019="Nordeste"),(VLOOKUP(C1019,Tabela1[#All],11,0)*E1019),AND("Venda de produtos",H1019="Norte/Centro-Oeste"),(VLOOKUP(C1019,Tabela1[#All],13,0)*E1019))))))</f>
        <v/>
      </c>
      <c r="G1019" s="16" t="str">
        <f>IF(B1019="Compra de estoque",VLOOKUP(C1019,Tabela1[#All],4,0)*E1019,"")</f>
        <v/>
      </c>
      <c r="H1019" s="16"/>
    </row>
    <row r="1020" spans="1:8" x14ac:dyDescent="0.25">
      <c r="A1020" s="14" t="str">
        <f t="shared" ca="1" si="15"/>
        <v/>
      </c>
      <c r="D1020" s="15" t="str">
        <f>IF(C1020="","",VLOOKUP(C1020,Tabela1[#All],2,0))</f>
        <v/>
      </c>
      <c r="F1020" s="16" t="str" cm="1">
        <f t="array" ref="F1020">IF(B1020="","",(IF(B1020="Compra de estoque","",(_xlfn.IFS(AND(B1020="Venda de produtos",H1020="Sul/Sudeste"),(VLOOKUP(C1020,Tabela1[#All],9,0)*E1020),AND(B1020="Venda de produtos",H1020="Nordeste"),(VLOOKUP(C1020,Tabela1[#All],11,0)*E1020),AND("Venda de produtos",H1020="Norte/Centro-Oeste"),(VLOOKUP(C1020,Tabela1[#All],13,0)*E1020))))))</f>
        <v/>
      </c>
      <c r="G1020" s="16" t="str">
        <f>IF(B1020="Compra de estoque",VLOOKUP(C1020,Tabela1[#All],4,0)*E1020,"")</f>
        <v/>
      </c>
      <c r="H1020" s="16"/>
    </row>
    <row r="1021" spans="1:8" x14ac:dyDescent="0.25">
      <c r="A1021" s="14" t="str">
        <f t="shared" ca="1" si="15"/>
        <v/>
      </c>
      <c r="D1021" s="15" t="str">
        <f>IF(C1021="","",VLOOKUP(C1021,Tabela1[#All],2,0))</f>
        <v/>
      </c>
      <c r="F1021" s="16" t="str" cm="1">
        <f t="array" ref="F1021">IF(B1021="","",(IF(B1021="Compra de estoque","",(_xlfn.IFS(AND(B1021="Venda de produtos",H1021="Sul/Sudeste"),(VLOOKUP(C1021,Tabela1[#All],9,0)*E1021),AND(B1021="Venda de produtos",H1021="Nordeste"),(VLOOKUP(C1021,Tabela1[#All],11,0)*E1021),AND("Venda de produtos",H1021="Norte/Centro-Oeste"),(VLOOKUP(C1021,Tabela1[#All],13,0)*E1021))))))</f>
        <v/>
      </c>
      <c r="G1021" s="16" t="str">
        <f>IF(B1021="Compra de estoque",VLOOKUP(C1021,Tabela1[#All],4,0)*E1021,"")</f>
        <v/>
      </c>
      <c r="H1021" s="16"/>
    </row>
    <row r="1022" spans="1:8" x14ac:dyDescent="0.25">
      <c r="A1022" s="14" t="str">
        <f t="shared" ca="1" si="15"/>
        <v/>
      </c>
      <c r="D1022" s="15" t="str">
        <f>IF(C1022="","",VLOOKUP(C1022,Tabela1[#All],2,0))</f>
        <v/>
      </c>
      <c r="F1022" s="16" t="str" cm="1">
        <f t="array" ref="F1022">IF(B1022="","",(IF(B1022="Compra de estoque","",(_xlfn.IFS(AND(B1022="Venda de produtos",H1022="Sul/Sudeste"),(VLOOKUP(C1022,Tabela1[#All],9,0)*E1022),AND(B1022="Venda de produtos",H1022="Nordeste"),(VLOOKUP(C1022,Tabela1[#All],11,0)*E1022),AND("Venda de produtos",H1022="Norte/Centro-Oeste"),(VLOOKUP(C1022,Tabela1[#All],13,0)*E1022))))))</f>
        <v/>
      </c>
      <c r="G1022" s="16" t="str">
        <f>IF(B1022="Compra de estoque",VLOOKUP(C1022,Tabela1[#All],4,0)*E1022,"")</f>
        <v/>
      </c>
      <c r="H1022" s="16"/>
    </row>
    <row r="1023" spans="1:8" x14ac:dyDescent="0.25">
      <c r="A1023" s="14" t="str">
        <f t="shared" ca="1" si="15"/>
        <v/>
      </c>
      <c r="D1023" s="15" t="str">
        <f>IF(C1023="","",VLOOKUP(C1023,Tabela1[#All],2,0))</f>
        <v/>
      </c>
      <c r="F1023" s="16" t="str" cm="1">
        <f t="array" ref="F1023">IF(B1023="","",(IF(B1023="Compra de estoque","",(_xlfn.IFS(AND(B1023="Venda de produtos",H1023="Sul/Sudeste"),(VLOOKUP(C1023,Tabela1[#All],9,0)*E1023),AND(B1023="Venda de produtos",H1023="Nordeste"),(VLOOKUP(C1023,Tabela1[#All],11,0)*E1023),AND("Venda de produtos",H1023="Norte/Centro-Oeste"),(VLOOKUP(C1023,Tabela1[#All],13,0)*E1023))))))</f>
        <v/>
      </c>
      <c r="G1023" s="16" t="str">
        <f>IF(B1023="Compra de estoque",VLOOKUP(C1023,Tabela1[#All],4,0)*E1023,"")</f>
        <v/>
      </c>
      <c r="H1023" s="16"/>
    </row>
    <row r="1024" spans="1:8" x14ac:dyDescent="0.25">
      <c r="A1024" s="14" t="str">
        <f t="shared" ca="1" si="15"/>
        <v/>
      </c>
      <c r="D1024" s="15" t="str">
        <f>IF(C1024="","",VLOOKUP(C1024,Tabela1[#All],2,0))</f>
        <v/>
      </c>
      <c r="F1024" s="16" t="str" cm="1">
        <f t="array" ref="F1024">IF(B1024="","",(IF(B1024="Compra de estoque","",(_xlfn.IFS(AND(B1024="Venda de produtos",H1024="Sul/Sudeste"),(VLOOKUP(C1024,Tabela1[#All],9,0)*E1024),AND(B1024="Venda de produtos",H1024="Nordeste"),(VLOOKUP(C1024,Tabela1[#All],11,0)*E1024),AND("Venda de produtos",H1024="Norte/Centro-Oeste"),(VLOOKUP(C1024,Tabela1[#All],13,0)*E1024))))))</f>
        <v/>
      </c>
      <c r="G1024" s="16" t="str">
        <f>IF(B1024="Compra de estoque",VLOOKUP(C1024,Tabela1[#All],4,0)*E1024,"")</f>
        <v/>
      </c>
      <c r="H1024" s="16"/>
    </row>
    <row r="1025" spans="1:8" x14ac:dyDescent="0.25">
      <c r="A1025" s="14" t="str">
        <f t="shared" ca="1" si="15"/>
        <v/>
      </c>
      <c r="D1025" s="15" t="str">
        <f>IF(C1025="","",VLOOKUP(C1025,Tabela1[#All],2,0))</f>
        <v/>
      </c>
      <c r="F1025" s="16" t="str" cm="1">
        <f t="array" ref="F1025">IF(B1025="","",(IF(B1025="Compra de estoque","",(_xlfn.IFS(AND(B1025="Venda de produtos",H1025="Sul/Sudeste"),(VLOOKUP(C1025,Tabela1[#All],9,0)*E1025),AND(B1025="Venda de produtos",H1025="Nordeste"),(VLOOKUP(C1025,Tabela1[#All],11,0)*E1025),AND("Venda de produtos",H1025="Norte/Centro-Oeste"),(VLOOKUP(C1025,Tabela1[#All],13,0)*E1025))))))</f>
        <v/>
      </c>
      <c r="G1025" s="16" t="str">
        <f>IF(B1025="Compra de estoque",VLOOKUP(C1025,Tabela1[#All],4,0)*E1025,"")</f>
        <v/>
      </c>
      <c r="H1025" s="16"/>
    </row>
    <row r="1026" spans="1:8" x14ac:dyDescent="0.25">
      <c r="A1026" s="14" t="str">
        <f t="shared" ca="1" si="15"/>
        <v/>
      </c>
      <c r="D1026" s="15" t="str">
        <f>IF(C1026="","",VLOOKUP(C1026,Tabela1[#All],2,0))</f>
        <v/>
      </c>
      <c r="F1026" s="16" t="str" cm="1">
        <f t="array" ref="F1026">IF(B1026="","",(IF(B1026="Compra de estoque","",(_xlfn.IFS(AND(B1026="Venda de produtos",H1026="Sul/Sudeste"),(VLOOKUP(C1026,Tabela1[#All],9,0)*E1026),AND(B1026="Venda de produtos",H1026="Nordeste"),(VLOOKUP(C1026,Tabela1[#All],11,0)*E1026),AND("Venda de produtos",H1026="Norte/Centro-Oeste"),(VLOOKUP(C1026,Tabela1[#All],13,0)*E1026))))))</f>
        <v/>
      </c>
      <c r="G1026" s="16" t="str">
        <f>IF(B1026="Compra de estoque",VLOOKUP(C1026,Tabela1[#All],4,0)*E1026,"")</f>
        <v/>
      </c>
      <c r="H1026" s="16"/>
    </row>
    <row r="1027" spans="1:8" x14ac:dyDescent="0.25">
      <c r="A1027" s="14" t="str">
        <f t="shared" ref="A1027:A1090" ca="1" si="16">IF(C1027="","",NOW())</f>
        <v/>
      </c>
      <c r="D1027" s="15" t="str">
        <f>IF(C1027="","",VLOOKUP(C1027,Tabela1[#All],2,0))</f>
        <v/>
      </c>
      <c r="F1027" s="16" t="str" cm="1">
        <f t="array" ref="F1027">IF(B1027="","",(IF(B1027="Compra de estoque","",(_xlfn.IFS(AND(B1027="Venda de produtos",H1027="Sul/Sudeste"),(VLOOKUP(C1027,Tabela1[#All],9,0)*E1027),AND(B1027="Venda de produtos",H1027="Nordeste"),(VLOOKUP(C1027,Tabela1[#All],11,0)*E1027),AND("Venda de produtos",H1027="Norte/Centro-Oeste"),(VLOOKUP(C1027,Tabela1[#All],13,0)*E1027))))))</f>
        <v/>
      </c>
      <c r="G1027" s="16" t="str">
        <f>IF(B1027="Compra de estoque",VLOOKUP(C1027,Tabela1[#All],4,0)*E1027,"")</f>
        <v/>
      </c>
      <c r="H1027" s="16"/>
    </row>
    <row r="1028" spans="1:8" x14ac:dyDescent="0.25">
      <c r="A1028" s="14" t="str">
        <f t="shared" ca="1" si="16"/>
        <v/>
      </c>
      <c r="D1028" s="15" t="str">
        <f>IF(C1028="","",VLOOKUP(C1028,Tabela1[#All],2,0))</f>
        <v/>
      </c>
      <c r="F1028" s="16" t="str" cm="1">
        <f t="array" ref="F1028">IF(B1028="","",(IF(B1028="Compra de estoque","",(_xlfn.IFS(AND(B1028="Venda de produtos",H1028="Sul/Sudeste"),(VLOOKUP(C1028,Tabela1[#All],9,0)*E1028),AND(B1028="Venda de produtos",H1028="Nordeste"),(VLOOKUP(C1028,Tabela1[#All],11,0)*E1028),AND("Venda de produtos",H1028="Norte/Centro-Oeste"),(VLOOKUP(C1028,Tabela1[#All],13,0)*E1028))))))</f>
        <v/>
      </c>
      <c r="G1028" s="16" t="str">
        <f>IF(B1028="Compra de estoque",VLOOKUP(C1028,Tabela1[#All],4,0)*E1028,"")</f>
        <v/>
      </c>
      <c r="H1028" s="16"/>
    </row>
    <row r="1029" spans="1:8" x14ac:dyDescent="0.25">
      <c r="A1029" s="14" t="str">
        <f t="shared" ca="1" si="16"/>
        <v/>
      </c>
      <c r="D1029" s="15" t="str">
        <f>IF(C1029="","",VLOOKUP(C1029,Tabela1[#All],2,0))</f>
        <v/>
      </c>
      <c r="F1029" s="16" t="str" cm="1">
        <f t="array" ref="F1029">IF(B1029="","",(IF(B1029="Compra de estoque","",(_xlfn.IFS(AND(B1029="Venda de produtos",H1029="Sul/Sudeste"),(VLOOKUP(C1029,Tabela1[#All],9,0)*E1029),AND(B1029="Venda de produtos",H1029="Nordeste"),(VLOOKUP(C1029,Tabela1[#All],11,0)*E1029),AND("Venda de produtos",H1029="Norte/Centro-Oeste"),(VLOOKUP(C1029,Tabela1[#All],13,0)*E1029))))))</f>
        <v/>
      </c>
      <c r="G1029" s="16" t="str">
        <f>IF(B1029="Compra de estoque",VLOOKUP(C1029,Tabela1[#All],4,0)*E1029,"")</f>
        <v/>
      </c>
      <c r="H1029" s="16"/>
    </row>
    <row r="1030" spans="1:8" x14ac:dyDescent="0.25">
      <c r="A1030" s="14" t="str">
        <f t="shared" ca="1" si="16"/>
        <v/>
      </c>
      <c r="D1030" s="15" t="str">
        <f>IF(C1030="","",VLOOKUP(C1030,Tabela1[#All],2,0))</f>
        <v/>
      </c>
      <c r="F1030" s="16" t="str" cm="1">
        <f t="array" ref="F1030">IF(B1030="","",(IF(B1030="Compra de estoque","",(_xlfn.IFS(AND(B1030="Venda de produtos",H1030="Sul/Sudeste"),(VLOOKUP(C1030,Tabela1[#All],9,0)*E1030),AND(B1030="Venda de produtos",H1030="Nordeste"),(VLOOKUP(C1030,Tabela1[#All],11,0)*E1030),AND("Venda de produtos",H1030="Norte/Centro-Oeste"),(VLOOKUP(C1030,Tabela1[#All],13,0)*E1030))))))</f>
        <v/>
      </c>
      <c r="G1030" s="16" t="str">
        <f>IF(B1030="Compra de estoque",VLOOKUP(C1030,Tabela1[#All],4,0)*E1030,"")</f>
        <v/>
      </c>
      <c r="H1030" s="16"/>
    </row>
    <row r="1031" spans="1:8" x14ac:dyDescent="0.25">
      <c r="A1031" s="14" t="str">
        <f t="shared" ca="1" si="16"/>
        <v/>
      </c>
      <c r="D1031" s="15" t="str">
        <f>IF(C1031="","",VLOOKUP(C1031,Tabela1[#All],2,0))</f>
        <v/>
      </c>
      <c r="F1031" s="16" t="str" cm="1">
        <f t="array" ref="F1031">IF(B1031="","",(IF(B1031="Compra de estoque","",(_xlfn.IFS(AND(B1031="Venda de produtos",H1031="Sul/Sudeste"),(VLOOKUP(C1031,Tabela1[#All],9,0)*E1031),AND(B1031="Venda de produtos",H1031="Nordeste"),(VLOOKUP(C1031,Tabela1[#All],11,0)*E1031),AND("Venda de produtos",H1031="Norte/Centro-Oeste"),(VLOOKUP(C1031,Tabela1[#All],13,0)*E1031))))))</f>
        <v/>
      </c>
      <c r="G1031" s="16" t="str">
        <f>IF(B1031="Compra de estoque",VLOOKUP(C1031,Tabela1[#All],4,0)*E1031,"")</f>
        <v/>
      </c>
      <c r="H1031" s="16"/>
    </row>
    <row r="1032" spans="1:8" x14ac:dyDescent="0.25">
      <c r="A1032" s="14" t="str">
        <f t="shared" ca="1" si="16"/>
        <v/>
      </c>
      <c r="D1032" s="15" t="str">
        <f>IF(C1032="","",VLOOKUP(C1032,Tabela1[#All],2,0))</f>
        <v/>
      </c>
      <c r="F1032" s="16" t="str" cm="1">
        <f t="array" ref="F1032">IF(B1032="","",(IF(B1032="Compra de estoque","",(_xlfn.IFS(AND(B1032="Venda de produtos",H1032="Sul/Sudeste"),(VLOOKUP(C1032,Tabela1[#All],9,0)*E1032),AND(B1032="Venda de produtos",H1032="Nordeste"),(VLOOKUP(C1032,Tabela1[#All],11,0)*E1032),AND("Venda de produtos",H1032="Norte/Centro-Oeste"),(VLOOKUP(C1032,Tabela1[#All],13,0)*E1032))))))</f>
        <v/>
      </c>
      <c r="G1032" s="16" t="str">
        <f>IF(B1032="Compra de estoque",VLOOKUP(C1032,Tabela1[#All],4,0)*E1032,"")</f>
        <v/>
      </c>
      <c r="H1032" s="16"/>
    </row>
    <row r="1033" spans="1:8" x14ac:dyDescent="0.25">
      <c r="A1033" s="14" t="str">
        <f t="shared" ca="1" si="16"/>
        <v/>
      </c>
      <c r="D1033" s="15" t="str">
        <f>IF(C1033="","",VLOOKUP(C1033,Tabela1[#All],2,0))</f>
        <v/>
      </c>
      <c r="F1033" s="16" t="str" cm="1">
        <f t="array" ref="F1033">IF(B1033="","",(IF(B1033="Compra de estoque","",(_xlfn.IFS(AND(B1033="Venda de produtos",H1033="Sul/Sudeste"),(VLOOKUP(C1033,Tabela1[#All],9,0)*E1033),AND(B1033="Venda de produtos",H1033="Nordeste"),(VLOOKUP(C1033,Tabela1[#All],11,0)*E1033),AND("Venda de produtos",H1033="Norte/Centro-Oeste"),(VLOOKUP(C1033,Tabela1[#All],13,0)*E1033))))))</f>
        <v/>
      </c>
      <c r="G1033" s="16" t="str">
        <f>IF(B1033="Compra de estoque",VLOOKUP(C1033,Tabela1[#All],4,0)*E1033,"")</f>
        <v/>
      </c>
      <c r="H1033" s="16"/>
    </row>
    <row r="1034" spans="1:8" x14ac:dyDescent="0.25">
      <c r="A1034" s="14" t="str">
        <f t="shared" ca="1" si="16"/>
        <v/>
      </c>
      <c r="D1034" s="15" t="str">
        <f>IF(C1034="","",VLOOKUP(C1034,Tabela1[#All],2,0))</f>
        <v/>
      </c>
      <c r="F1034" s="16" t="str" cm="1">
        <f t="array" ref="F1034">IF(B1034="","",(IF(B1034="Compra de estoque","",(_xlfn.IFS(AND(B1034="Venda de produtos",H1034="Sul/Sudeste"),(VLOOKUP(C1034,Tabela1[#All],9,0)*E1034),AND(B1034="Venda de produtos",H1034="Nordeste"),(VLOOKUP(C1034,Tabela1[#All],11,0)*E1034),AND("Venda de produtos",H1034="Norte/Centro-Oeste"),(VLOOKUP(C1034,Tabela1[#All],13,0)*E1034))))))</f>
        <v/>
      </c>
      <c r="G1034" s="16" t="str">
        <f>IF(B1034="Compra de estoque",VLOOKUP(C1034,Tabela1[#All],4,0)*E1034,"")</f>
        <v/>
      </c>
      <c r="H1034" s="16"/>
    </row>
    <row r="1035" spans="1:8" x14ac:dyDescent="0.25">
      <c r="A1035" s="14" t="str">
        <f t="shared" ca="1" si="16"/>
        <v/>
      </c>
      <c r="D1035" s="15" t="str">
        <f>IF(C1035="","",VLOOKUP(C1035,Tabela1[#All],2,0))</f>
        <v/>
      </c>
      <c r="F1035" s="16" t="str" cm="1">
        <f t="array" ref="F1035">IF(B1035="","",(IF(B1035="Compra de estoque","",(_xlfn.IFS(AND(B1035="Venda de produtos",H1035="Sul/Sudeste"),(VLOOKUP(C1035,Tabela1[#All],9,0)*E1035),AND(B1035="Venda de produtos",H1035="Nordeste"),(VLOOKUP(C1035,Tabela1[#All],11,0)*E1035),AND("Venda de produtos",H1035="Norte/Centro-Oeste"),(VLOOKUP(C1035,Tabela1[#All],13,0)*E1035))))))</f>
        <v/>
      </c>
      <c r="G1035" s="16" t="str">
        <f>IF(B1035="Compra de estoque",VLOOKUP(C1035,Tabela1[#All],4,0)*E1035,"")</f>
        <v/>
      </c>
      <c r="H1035" s="16"/>
    </row>
    <row r="1036" spans="1:8" x14ac:dyDescent="0.25">
      <c r="A1036" s="14" t="str">
        <f t="shared" ca="1" si="16"/>
        <v/>
      </c>
      <c r="D1036" s="15" t="str">
        <f>IF(C1036="","",VLOOKUP(C1036,Tabela1[#All],2,0))</f>
        <v/>
      </c>
      <c r="F1036" s="16" t="str" cm="1">
        <f t="array" ref="F1036">IF(B1036="","",(IF(B1036="Compra de estoque","",(_xlfn.IFS(AND(B1036="Venda de produtos",H1036="Sul/Sudeste"),(VLOOKUP(C1036,Tabela1[#All],9,0)*E1036),AND(B1036="Venda de produtos",H1036="Nordeste"),(VLOOKUP(C1036,Tabela1[#All],11,0)*E1036),AND("Venda de produtos",H1036="Norte/Centro-Oeste"),(VLOOKUP(C1036,Tabela1[#All],13,0)*E1036))))))</f>
        <v/>
      </c>
      <c r="G1036" s="16" t="str">
        <f>IF(B1036="Compra de estoque",VLOOKUP(C1036,Tabela1[#All],4,0)*E1036,"")</f>
        <v/>
      </c>
      <c r="H1036" s="16"/>
    </row>
    <row r="1037" spans="1:8" x14ac:dyDescent="0.25">
      <c r="A1037" s="14" t="str">
        <f t="shared" ca="1" si="16"/>
        <v/>
      </c>
      <c r="D1037" s="15" t="str">
        <f>IF(C1037="","",VLOOKUP(C1037,Tabela1[#All],2,0))</f>
        <v/>
      </c>
      <c r="F1037" s="16" t="str" cm="1">
        <f t="array" ref="F1037">IF(B1037="","",(IF(B1037="Compra de estoque","",(_xlfn.IFS(AND(B1037="Venda de produtos",H1037="Sul/Sudeste"),(VLOOKUP(C1037,Tabela1[#All],9,0)*E1037),AND(B1037="Venda de produtos",H1037="Nordeste"),(VLOOKUP(C1037,Tabela1[#All],11,0)*E1037),AND("Venda de produtos",H1037="Norte/Centro-Oeste"),(VLOOKUP(C1037,Tabela1[#All],13,0)*E1037))))))</f>
        <v/>
      </c>
      <c r="G1037" s="16" t="str">
        <f>IF(B1037="Compra de estoque",VLOOKUP(C1037,Tabela1[#All],4,0)*E1037,"")</f>
        <v/>
      </c>
      <c r="H1037" s="16"/>
    </row>
    <row r="1038" spans="1:8" x14ac:dyDescent="0.25">
      <c r="A1038" s="14" t="str">
        <f t="shared" ca="1" si="16"/>
        <v/>
      </c>
      <c r="D1038" s="15" t="str">
        <f>IF(C1038="","",VLOOKUP(C1038,Tabela1[#All],2,0))</f>
        <v/>
      </c>
      <c r="F1038" s="16" t="str" cm="1">
        <f t="array" ref="F1038">IF(B1038="","",(IF(B1038="Compra de estoque","",(_xlfn.IFS(AND(B1038="Venda de produtos",H1038="Sul/Sudeste"),(VLOOKUP(C1038,Tabela1[#All],9,0)*E1038),AND(B1038="Venda de produtos",H1038="Nordeste"),(VLOOKUP(C1038,Tabela1[#All],11,0)*E1038),AND("Venda de produtos",H1038="Norte/Centro-Oeste"),(VLOOKUP(C1038,Tabela1[#All],13,0)*E1038))))))</f>
        <v/>
      </c>
      <c r="G1038" s="16" t="str">
        <f>IF(B1038="Compra de estoque",VLOOKUP(C1038,Tabela1[#All],4,0)*E1038,"")</f>
        <v/>
      </c>
      <c r="H1038" s="16"/>
    </row>
    <row r="1039" spans="1:8" x14ac:dyDescent="0.25">
      <c r="A1039" s="14" t="str">
        <f t="shared" ca="1" si="16"/>
        <v/>
      </c>
      <c r="D1039" s="15" t="str">
        <f>IF(C1039="","",VLOOKUP(C1039,Tabela1[#All],2,0))</f>
        <v/>
      </c>
      <c r="F1039" s="16" t="str" cm="1">
        <f t="array" ref="F1039">IF(B1039="","",(IF(B1039="Compra de estoque","",(_xlfn.IFS(AND(B1039="Venda de produtos",H1039="Sul/Sudeste"),(VLOOKUP(C1039,Tabela1[#All],9,0)*E1039),AND(B1039="Venda de produtos",H1039="Nordeste"),(VLOOKUP(C1039,Tabela1[#All],11,0)*E1039),AND("Venda de produtos",H1039="Norte/Centro-Oeste"),(VLOOKUP(C1039,Tabela1[#All],13,0)*E1039))))))</f>
        <v/>
      </c>
      <c r="G1039" s="16" t="str">
        <f>IF(B1039="Compra de estoque",VLOOKUP(C1039,Tabela1[#All],4,0)*E1039,"")</f>
        <v/>
      </c>
      <c r="H1039" s="16"/>
    </row>
    <row r="1040" spans="1:8" x14ac:dyDescent="0.25">
      <c r="A1040" s="14" t="str">
        <f t="shared" ca="1" si="16"/>
        <v/>
      </c>
      <c r="D1040" s="15" t="str">
        <f>IF(C1040="","",VLOOKUP(C1040,Tabela1[#All],2,0))</f>
        <v/>
      </c>
      <c r="F1040" s="16" t="str" cm="1">
        <f t="array" ref="F1040">IF(B1040="","",(IF(B1040="Compra de estoque","",(_xlfn.IFS(AND(B1040="Venda de produtos",H1040="Sul/Sudeste"),(VLOOKUP(C1040,Tabela1[#All],9,0)*E1040),AND(B1040="Venda de produtos",H1040="Nordeste"),(VLOOKUP(C1040,Tabela1[#All],11,0)*E1040),AND("Venda de produtos",H1040="Norte/Centro-Oeste"),(VLOOKUP(C1040,Tabela1[#All],13,0)*E1040))))))</f>
        <v/>
      </c>
      <c r="G1040" s="16" t="str">
        <f>IF(B1040="Compra de estoque",VLOOKUP(C1040,Tabela1[#All],4,0)*E1040,"")</f>
        <v/>
      </c>
      <c r="H1040" s="16"/>
    </row>
    <row r="1041" spans="1:8" x14ac:dyDescent="0.25">
      <c r="A1041" s="14" t="str">
        <f t="shared" ca="1" si="16"/>
        <v/>
      </c>
      <c r="D1041" s="15" t="str">
        <f>IF(C1041="","",VLOOKUP(C1041,Tabela1[#All],2,0))</f>
        <v/>
      </c>
      <c r="F1041" s="16" t="str" cm="1">
        <f t="array" ref="F1041">IF(B1041="","",(IF(B1041="Compra de estoque","",(_xlfn.IFS(AND(B1041="Venda de produtos",H1041="Sul/Sudeste"),(VLOOKUP(C1041,Tabela1[#All],9,0)*E1041),AND(B1041="Venda de produtos",H1041="Nordeste"),(VLOOKUP(C1041,Tabela1[#All],11,0)*E1041),AND("Venda de produtos",H1041="Norte/Centro-Oeste"),(VLOOKUP(C1041,Tabela1[#All],13,0)*E1041))))))</f>
        <v/>
      </c>
      <c r="G1041" s="16" t="str">
        <f>IF(B1041="Compra de estoque",VLOOKUP(C1041,Tabela1[#All],4,0)*E1041,"")</f>
        <v/>
      </c>
      <c r="H1041" s="16"/>
    </row>
    <row r="1042" spans="1:8" x14ac:dyDescent="0.25">
      <c r="A1042" s="14" t="str">
        <f t="shared" ca="1" si="16"/>
        <v/>
      </c>
      <c r="D1042" s="15" t="str">
        <f>IF(C1042="","",VLOOKUP(C1042,Tabela1[#All],2,0))</f>
        <v/>
      </c>
      <c r="F1042" s="16" t="str" cm="1">
        <f t="array" ref="F1042">IF(B1042="","",(IF(B1042="Compra de estoque","",(_xlfn.IFS(AND(B1042="Venda de produtos",H1042="Sul/Sudeste"),(VLOOKUP(C1042,Tabela1[#All],9,0)*E1042),AND(B1042="Venda de produtos",H1042="Nordeste"),(VLOOKUP(C1042,Tabela1[#All],11,0)*E1042),AND("Venda de produtos",H1042="Norte/Centro-Oeste"),(VLOOKUP(C1042,Tabela1[#All],13,0)*E1042))))))</f>
        <v/>
      </c>
      <c r="G1042" s="16" t="str">
        <f>IF(B1042="Compra de estoque",VLOOKUP(C1042,Tabela1[#All],4,0)*E1042,"")</f>
        <v/>
      </c>
      <c r="H1042" s="16"/>
    </row>
    <row r="1043" spans="1:8" x14ac:dyDescent="0.25">
      <c r="A1043" s="14" t="str">
        <f t="shared" ca="1" si="16"/>
        <v/>
      </c>
      <c r="D1043" s="15" t="str">
        <f>IF(C1043="","",VLOOKUP(C1043,Tabela1[#All],2,0))</f>
        <v/>
      </c>
      <c r="F1043" s="16" t="str" cm="1">
        <f t="array" ref="F1043">IF(B1043="","",(IF(B1043="Compra de estoque","",(_xlfn.IFS(AND(B1043="Venda de produtos",H1043="Sul/Sudeste"),(VLOOKUP(C1043,Tabela1[#All],9,0)*E1043),AND(B1043="Venda de produtos",H1043="Nordeste"),(VLOOKUP(C1043,Tabela1[#All],11,0)*E1043),AND("Venda de produtos",H1043="Norte/Centro-Oeste"),(VLOOKUP(C1043,Tabela1[#All],13,0)*E1043))))))</f>
        <v/>
      </c>
      <c r="G1043" s="16" t="str">
        <f>IF(B1043="Compra de estoque",VLOOKUP(C1043,Tabela1[#All],4,0)*E1043,"")</f>
        <v/>
      </c>
      <c r="H1043" s="16"/>
    </row>
    <row r="1044" spans="1:8" x14ac:dyDescent="0.25">
      <c r="A1044" s="14" t="str">
        <f t="shared" ca="1" si="16"/>
        <v/>
      </c>
      <c r="D1044" s="15" t="str">
        <f>IF(C1044="","",VLOOKUP(C1044,Tabela1[#All],2,0))</f>
        <v/>
      </c>
      <c r="F1044" s="16" t="str" cm="1">
        <f t="array" ref="F1044">IF(B1044="","",(IF(B1044="Compra de estoque","",(_xlfn.IFS(AND(B1044="Venda de produtos",H1044="Sul/Sudeste"),(VLOOKUP(C1044,Tabela1[#All],9,0)*E1044),AND(B1044="Venda de produtos",H1044="Nordeste"),(VLOOKUP(C1044,Tabela1[#All],11,0)*E1044),AND("Venda de produtos",H1044="Norte/Centro-Oeste"),(VLOOKUP(C1044,Tabela1[#All],13,0)*E1044))))))</f>
        <v/>
      </c>
      <c r="G1044" s="16" t="str">
        <f>IF(B1044="Compra de estoque",VLOOKUP(C1044,Tabela1[#All],4,0)*E1044,"")</f>
        <v/>
      </c>
      <c r="H1044" s="16"/>
    </row>
    <row r="1045" spans="1:8" x14ac:dyDescent="0.25">
      <c r="A1045" s="14" t="str">
        <f t="shared" ca="1" si="16"/>
        <v/>
      </c>
      <c r="D1045" s="15" t="str">
        <f>IF(C1045="","",VLOOKUP(C1045,Tabela1[#All],2,0))</f>
        <v/>
      </c>
      <c r="F1045" s="16" t="str" cm="1">
        <f t="array" ref="F1045">IF(B1045="","",(IF(B1045="Compra de estoque","",(_xlfn.IFS(AND(B1045="Venda de produtos",H1045="Sul/Sudeste"),(VLOOKUP(C1045,Tabela1[#All],9,0)*E1045),AND(B1045="Venda de produtos",H1045="Nordeste"),(VLOOKUP(C1045,Tabela1[#All],11,0)*E1045),AND("Venda de produtos",H1045="Norte/Centro-Oeste"),(VLOOKUP(C1045,Tabela1[#All],13,0)*E1045))))))</f>
        <v/>
      </c>
      <c r="G1045" s="16" t="str">
        <f>IF(B1045="Compra de estoque",VLOOKUP(C1045,Tabela1[#All],4,0)*E1045,"")</f>
        <v/>
      </c>
      <c r="H1045" s="16"/>
    </row>
    <row r="1046" spans="1:8" x14ac:dyDescent="0.25">
      <c r="A1046" s="14" t="str">
        <f t="shared" ca="1" si="16"/>
        <v/>
      </c>
      <c r="D1046" s="15" t="str">
        <f>IF(C1046="","",VLOOKUP(C1046,Tabela1[#All],2,0))</f>
        <v/>
      </c>
      <c r="F1046" s="16" t="str" cm="1">
        <f t="array" ref="F1046">IF(B1046="","",(IF(B1046="Compra de estoque","",(_xlfn.IFS(AND(B1046="Venda de produtos",H1046="Sul/Sudeste"),(VLOOKUP(C1046,Tabela1[#All],9,0)*E1046),AND(B1046="Venda de produtos",H1046="Nordeste"),(VLOOKUP(C1046,Tabela1[#All],11,0)*E1046),AND("Venda de produtos",H1046="Norte/Centro-Oeste"),(VLOOKUP(C1046,Tabela1[#All],13,0)*E1046))))))</f>
        <v/>
      </c>
      <c r="G1046" s="16" t="str">
        <f>IF(B1046="Compra de estoque",VLOOKUP(C1046,Tabela1[#All],4,0)*E1046,"")</f>
        <v/>
      </c>
      <c r="H1046" s="16"/>
    </row>
    <row r="1047" spans="1:8" x14ac:dyDescent="0.25">
      <c r="A1047" s="14" t="str">
        <f t="shared" ca="1" si="16"/>
        <v/>
      </c>
      <c r="D1047" s="15" t="str">
        <f>IF(C1047="","",VLOOKUP(C1047,Tabela1[#All],2,0))</f>
        <v/>
      </c>
      <c r="F1047" s="16" t="str" cm="1">
        <f t="array" ref="F1047">IF(B1047="","",(IF(B1047="Compra de estoque","",(_xlfn.IFS(AND(B1047="Venda de produtos",H1047="Sul/Sudeste"),(VLOOKUP(C1047,Tabela1[#All],9,0)*E1047),AND(B1047="Venda de produtos",H1047="Nordeste"),(VLOOKUP(C1047,Tabela1[#All],11,0)*E1047),AND("Venda de produtos",H1047="Norte/Centro-Oeste"),(VLOOKUP(C1047,Tabela1[#All],13,0)*E1047))))))</f>
        <v/>
      </c>
      <c r="G1047" s="16" t="str">
        <f>IF(B1047="Compra de estoque",VLOOKUP(C1047,Tabela1[#All],4,0)*E1047,"")</f>
        <v/>
      </c>
      <c r="H1047" s="16"/>
    </row>
    <row r="1048" spans="1:8" x14ac:dyDescent="0.25">
      <c r="A1048" s="14" t="str">
        <f t="shared" ca="1" si="16"/>
        <v/>
      </c>
      <c r="D1048" s="15" t="str">
        <f>IF(C1048="","",VLOOKUP(C1048,Tabela1[#All],2,0))</f>
        <v/>
      </c>
      <c r="F1048" s="16" t="str" cm="1">
        <f t="array" ref="F1048">IF(B1048="","",(IF(B1048="Compra de estoque","",(_xlfn.IFS(AND(B1048="Venda de produtos",H1048="Sul/Sudeste"),(VLOOKUP(C1048,Tabela1[#All],9,0)*E1048),AND(B1048="Venda de produtos",H1048="Nordeste"),(VLOOKUP(C1048,Tabela1[#All],11,0)*E1048),AND("Venda de produtos",H1048="Norte/Centro-Oeste"),(VLOOKUP(C1048,Tabela1[#All],13,0)*E1048))))))</f>
        <v/>
      </c>
      <c r="G1048" s="16" t="str">
        <f>IF(B1048="Compra de estoque",VLOOKUP(C1048,Tabela1[#All],4,0)*E1048,"")</f>
        <v/>
      </c>
      <c r="H1048" s="16"/>
    </row>
    <row r="1049" spans="1:8" x14ac:dyDescent="0.25">
      <c r="A1049" s="14" t="str">
        <f t="shared" ca="1" si="16"/>
        <v/>
      </c>
      <c r="D1049" s="15" t="str">
        <f>IF(C1049="","",VLOOKUP(C1049,Tabela1[#All],2,0))</f>
        <v/>
      </c>
      <c r="F1049" s="16" t="str" cm="1">
        <f t="array" ref="F1049">IF(B1049="","",(IF(B1049="Compra de estoque","",(_xlfn.IFS(AND(B1049="Venda de produtos",H1049="Sul/Sudeste"),(VLOOKUP(C1049,Tabela1[#All],9,0)*E1049),AND(B1049="Venda de produtos",H1049="Nordeste"),(VLOOKUP(C1049,Tabela1[#All],11,0)*E1049),AND("Venda de produtos",H1049="Norte/Centro-Oeste"),(VLOOKUP(C1049,Tabela1[#All],13,0)*E1049))))))</f>
        <v/>
      </c>
      <c r="G1049" s="16" t="str">
        <f>IF(B1049="Compra de estoque",VLOOKUP(C1049,Tabela1[#All],4,0)*E1049,"")</f>
        <v/>
      </c>
      <c r="H1049" s="16"/>
    </row>
    <row r="1050" spans="1:8" x14ac:dyDescent="0.25">
      <c r="A1050" s="14" t="str">
        <f t="shared" ca="1" si="16"/>
        <v/>
      </c>
      <c r="D1050" s="15" t="str">
        <f>IF(C1050="","",VLOOKUP(C1050,Tabela1[#All],2,0))</f>
        <v/>
      </c>
      <c r="F1050" s="16" t="str" cm="1">
        <f t="array" ref="F1050">IF(B1050="","",(IF(B1050="Compra de estoque","",(_xlfn.IFS(AND(B1050="Venda de produtos",H1050="Sul/Sudeste"),(VLOOKUP(C1050,Tabela1[#All],9,0)*E1050),AND(B1050="Venda de produtos",H1050="Nordeste"),(VLOOKUP(C1050,Tabela1[#All],11,0)*E1050),AND("Venda de produtos",H1050="Norte/Centro-Oeste"),(VLOOKUP(C1050,Tabela1[#All],13,0)*E1050))))))</f>
        <v/>
      </c>
      <c r="G1050" s="16" t="str">
        <f>IF(B1050="Compra de estoque",VLOOKUP(C1050,Tabela1[#All],4,0)*E1050,"")</f>
        <v/>
      </c>
      <c r="H1050" s="16"/>
    </row>
    <row r="1051" spans="1:8" x14ac:dyDescent="0.25">
      <c r="A1051" s="14" t="str">
        <f t="shared" ca="1" si="16"/>
        <v/>
      </c>
      <c r="D1051" s="15" t="str">
        <f>IF(C1051="","",VLOOKUP(C1051,Tabela1[#All],2,0))</f>
        <v/>
      </c>
      <c r="F1051" s="16" t="str" cm="1">
        <f t="array" ref="F1051">IF(B1051="","",(IF(B1051="Compra de estoque","",(_xlfn.IFS(AND(B1051="Venda de produtos",H1051="Sul/Sudeste"),(VLOOKUP(C1051,Tabela1[#All],9,0)*E1051),AND(B1051="Venda de produtos",H1051="Nordeste"),(VLOOKUP(C1051,Tabela1[#All],11,0)*E1051),AND("Venda de produtos",H1051="Norte/Centro-Oeste"),(VLOOKUP(C1051,Tabela1[#All],13,0)*E1051))))))</f>
        <v/>
      </c>
      <c r="G1051" s="16" t="str">
        <f>IF(B1051="Compra de estoque",VLOOKUP(C1051,Tabela1[#All],4,0)*E1051,"")</f>
        <v/>
      </c>
      <c r="H1051" s="16"/>
    </row>
    <row r="1052" spans="1:8" x14ac:dyDescent="0.25">
      <c r="A1052" s="14" t="str">
        <f t="shared" ca="1" si="16"/>
        <v/>
      </c>
      <c r="D1052" s="15" t="str">
        <f>IF(C1052="","",VLOOKUP(C1052,Tabela1[#All],2,0))</f>
        <v/>
      </c>
      <c r="F1052" s="16" t="str" cm="1">
        <f t="array" ref="F1052">IF(B1052="","",(IF(B1052="Compra de estoque","",(_xlfn.IFS(AND(B1052="Venda de produtos",H1052="Sul/Sudeste"),(VLOOKUP(C1052,Tabela1[#All],9,0)*E1052),AND(B1052="Venda de produtos",H1052="Nordeste"),(VLOOKUP(C1052,Tabela1[#All],11,0)*E1052),AND("Venda de produtos",H1052="Norte/Centro-Oeste"),(VLOOKUP(C1052,Tabela1[#All],13,0)*E1052))))))</f>
        <v/>
      </c>
      <c r="G1052" s="16" t="str">
        <f>IF(B1052="Compra de estoque",VLOOKUP(C1052,Tabela1[#All],4,0)*E1052,"")</f>
        <v/>
      </c>
      <c r="H1052" s="16"/>
    </row>
    <row r="1053" spans="1:8" x14ac:dyDescent="0.25">
      <c r="A1053" s="14" t="str">
        <f t="shared" ca="1" si="16"/>
        <v/>
      </c>
      <c r="D1053" s="15" t="str">
        <f>IF(C1053="","",VLOOKUP(C1053,Tabela1[#All],2,0))</f>
        <v/>
      </c>
      <c r="F1053" s="16" t="str" cm="1">
        <f t="array" ref="F1053">IF(B1053="","",(IF(B1053="Compra de estoque","",(_xlfn.IFS(AND(B1053="Venda de produtos",H1053="Sul/Sudeste"),(VLOOKUP(C1053,Tabela1[#All],9,0)*E1053),AND(B1053="Venda de produtos",H1053="Nordeste"),(VLOOKUP(C1053,Tabela1[#All],11,0)*E1053),AND("Venda de produtos",H1053="Norte/Centro-Oeste"),(VLOOKUP(C1053,Tabela1[#All],13,0)*E1053))))))</f>
        <v/>
      </c>
      <c r="G1053" s="16" t="str">
        <f>IF(B1053="Compra de estoque",VLOOKUP(C1053,Tabela1[#All],4,0)*E1053,"")</f>
        <v/>
      </c>
      <c r="H1053" s="16"/>
    </row>
    <row r="1054" spans="1:8" x14ac:dyDescent="0.25">
      <c r="A1054" s="14" t="str">
        <f t="shared" ca="1" si="16"/>
        <v/>
      </c>
      <c r="D1054" s="15" t="str">
        <f>IF(C1054="","",VLOOKUP(C1054,Tabela1[#All],2,0))</f>
        <v/>
      </c>
      <c r="F1054" s="16" t="str" cm="1">
        <f t="array" ref="F1054">IF(B1054="","",(IF(B1054="Compra de estoque","",(_xlfn.IFS(AND(B1054="Venda de produtos",H1054="Sul/Sudeste"),(VLOOKUP(C1054,Tabela1[#All],9,0)*E1054),AND(B1054="Venda de produtos",H1054="Nordeste"),(VLOOKUP(C1054,Tabela1[#All],11,0)*E1054),AND("Venda de produtos",H1054="Norte/Centro-Oeste"),(VLOOKUP(C1054,Tabela1[#All],13,0)*E1054))))))</f>
        <v/>
      </c>
      <c r="G1054" s="16" t="str">
        <f>IF(B1054="Compra de estoque",VLOOKUP(C1054,Tabela1[#All],4,0)*E1054,"")</f>
        <v/>
      </c>
      <c r="H1054" s="16"/>
    </row>
    <row r="1055" spans="1:8" x14ac:dyDescent="0.25">
      <c r="A1055" s="14" t="str">
        <f t="shared" ca="1" si="16"/>
        <v/>
      </c>
      <c r="D1055" s="15" t="str">
        <f>IF(C1055="","",VLOOKUP(C1055,Tabela1[#All],2,0))</f>
        <v/>
      </c>
      <c r="F1055" s="16" t="str" cm="1">
        <f t="array" ref="F1055">IF(B1055="","",(IF(B1055="Compra de estoque","",(_xlfn.IFS(AND(B1055="Venda de produtos",H1055="Sul/Sudeste"),(VLOOKUP(C1055,Tabela1[#All],9,0)*E1055),AND(B1055="Venda de produtos",H1055="Nordeste"),(VLOOKUP(C1055,Tabela1[#All],11,0)*E1055),AND("Venda de produtos",H1055="Norte/Centro-Oeste"),(VLOOKUP(C1055,Tabela1[#All],13,0)*E1055))))))</f>
        <v/>
      </c>
      <c r="G1055" s="16" t="str">
        <f>IF(B1055="Compra de estoque",VLOOKUP(C1055,Tabela1[#All],4,0)*E1055,"")</f>
        <v/>
      </c>
      <c r="H1055" s="16"/>
    </row>
    <row r="1056" spans="1:8" x14ac:dyDescent="0.25">
      <c r="A1056" s="14" t="str">
        <f t="shared" ca="1" si="16"/>
        <v/>
      </c>
      <c r="D1056" s="15" t="str">
        <f>IF(C1056="","",VLOOKUP(C1056,Tabela1[#All],2,0))</f>
        <v/>
      </c>
      <c r="F1056" s="16" t="str" cm="1">
        <f t="array" ref="F1056">IF(B1056="","",(IF(B1056="Compra de estoque","",(_xlfn.IFS(AND(B1056="Venda de produtos",H1056="Sul/Sudeste"),(VLOOKUP(C1056,Tabela1[#All],9,0)*E1056),AND(B1056="Venda de produtos",H1056="Nordeste"),(VLOOKUP(C1056,Tabela1[#All],11,0)*E1056),AND("Venda de produtos",H1056="Norte/Centro-Oeste"),(VLOOKUP(C1056,Tabela1[#All],13,0)*E1056))))))</f>
        <v/>
      </c>
      <c r="G1056" s="16" t="str">
        <f>IF(B1056="Compra de estoque",VLOOKUP(C1056,Tabela1[#All],4,0)*E1056,"")</f>
        <v/>
      </c>
      <c r="H1056" s="16"/>
    </row>
    <row r="1057" spans="1:8" x14ac:dyDescent="0.25">
      <c r="A1057" s="14" t="str">
        <f t="shared" ca="1" si="16"/>
        <v/>
      </c>
      <c r="D1057" s="15" t="str">
        <f>IF(C1057="","",VLOOKUP(C1057,Tabela1[#All],2,0))</f>
        <v/>
      </c>
      <c r="F1057" s="16" t="str" cm="1">
        <f t="array" ref="F1057">IF(B1057="","",(IF(B1057="Compra de estoque","",(_xlfn.IFS(AND(B1057="Venda de produtos",H1057="Sul/Sudeste"),(VLOOKUP(C1057,Tabela1[#All],9,0)*E1057),AND(B1057="Venda de produtos",H1057="Nordeste"),(VLOOKUP(C1057,Tabela1[#All],11,0)*E1057),AND("Venda de produtos",H1057="Norte/Centro-Oeste"),(VLOOKUP(C1057,Tabela1[#All],13,0)*E1057))))))</f>
        <v/>
      </c>
      <c r="G1057" s="16" t="str">
        <f>IF(B1057="Compra de estoque",VLOOKUP(C1057,Tabela1[#All],4,0)*E1057,"")</f>
        <v/>
      </c>
      <c r="H1057" s="16"/>
    </row>
    <row r="1058" spans="1:8" x14ac:dyDescent="0.25">
      <c r="A1058" s="14" t="str">
        <f t="shared" ca="1" si="16"/>
        <v/>
      </c>
      <c r="D1058" s="15" t="str">
        <f>IF(C1058="","",VLOOKUP(C1058,Tabela1[#All],2,0))</f>
        <v/>
      </c>
      <c r="F1058" s="16" t="str" cm="1">
        <f t="array" ref="F1058">IF(B1058="","",(IF(B1058="Compra de estoque","",(_xlfn.IFS(AND(B1058="Venda de produtos",H1058="Sul/Sudeste"),(VLOOKUP(C1058,Tabela1[#All],9,0)*E1058),AND(B1058="Venda de produtos",H1058="Nordeste"),(VLOOKUP(C1058,Tabela1[#All],11,0)*E1058),AND("Venda de produtos",H1058="Norte/Centro-Oeste"),(VLOOKUP(C1058,Tabela1[#All],13,0)*E1058))))))</f>
        <v/>
      </c>
      <c r="G1058" s="16" t="str">
        <f>IF(B1058="Compra de estoque",VLOOKUP(C1058,Tabela1[#All],4,0)*E1058,"")</f>
        <v/>
      </c>
      <c r="H1058" s="16"/>
    </row>
    <row r="1059" spans="1:8" x14ac:dyDescent="0.25">
      <c r="A1059" s="14" t="str">
        <f t="shared" ca="1" si="16"/>
        <v/>
      </c>
      <c r="D1059" s="15" t="str">
        <f>IF(C1059="","",VLOOKUP(C1059,Tabela1[#All],2,0))</f>
        <v/>
      </c>
      <c r="F1059" s="16" t="str" cm="1">
        <f t="array" ref="F1059">IF(B1059="","",(IF(B1059="Compra de estoque","",(_xlfn.IFS(AND(B1059="Venda de produtos",H1059="Sul/Sudeste"),(VLOOKUP(C1059,Tabela1[#All],9,0)*E1059),AND(B1059="Venda de produtos",H1059="Nordeste"),(VLOOKUP(C1059,Tabela1[#All],11,0)*E1059),AND("Venda de produtos",H1059="Norte/Centro-Oeste"),(VLOOKUP(C1059,Tabela1[#All],13,0)*E1059))))))</f>
        <v/>
      </c>
      <c r="G1059" s="16" t="str">
        <f>IF(B1059="Compra de estoque",VLOOKUP(C1059,Tabela1[#All],4,0)*E1059,"")</f>
        <v/>
      </c>
      <c r="H1059" s="16"/>
    </row>
    <row r="1060" spans="1:8" x14ac:dyDescent="0.25">
      <c r="A1060" s="14" t="str">
        <f t="shared" ca="1" si="16"/>
        <v/>
      </c>
      <c r="D1060" s="15" t="str">
        <f>IF(C1060="","",VLOOKUP(C1060,Tabela1[#All],2,0))</f>
        <v/>
      </c>
      <c r="F1060" s="16" t="str" cm="1">
        <f t="array" ref="F1060">IF(B1060="","",(IF(B1060="Compra de estoque","",(_xlfn.IFS(AND(B1060="Venda de produtos",H1060="Sul/Sudeste"),(VLOOKUP(C1060,Tabela1[#All],9,0)*E1060),AND(B1060="Venda de produtos",H1060="Nordeste"),(VLOOKUP(C1060,Tabela1[#All],11,0)*E1060),AND("Venda de produtos",H1060="Norte/Centro-Oeste"),(VLOOKUP(C1060,Tabela1[#All],13,0)*E1060))))))</f>
        <v/>
      </c>
      <c r="G1060" s="16" t="str">
        <f>IF(B1060="Compra de estoque",VLOOKUP(C1060,Tabela1[#All],4,0)*E1060,"")</f>
        <v/>
      </c>
      <c r="H1060" s="16"/>
    </row>
    <row r="1061" spans="1:8" x14ac:dyDescent="0.25">
      <c r="A1061" s="14" t="str">
        <f t="shared" ca="1" si="16"/>
        <v/>
      </c>
      <c r="D1061" s="15" t="str">
        <f>IF(C1061="","",VLOOKUP(C1061,Tabela1[#All],2,0))</f>
        <v/>
      </c>
      <c r="F1061" s="16" t="str" cm="1">
        <f t="array" ref="F1061">IF(B1061="","",(IF(B1061="Compra de estoque","",(_xlfn.IFS(AND(B1061="Venda de produtos",H1061="Sul/Sudeste"),(VLOOKUP(C1061,Tabela1[#All],9,0)*E1061),AND(B1061="Venda de produtos",H1061="Nordeste"),(VLOOKUP(C1061,Tabela1[#All],11,0)*E1061),AND("Venda de produtos",H1061="Norte/Centro-Oeste"),(VLOOKUP(C1061,Tabela1[#All],13,0)*E1061))))))</f>
        <v/>
      </c>
      <c r="G1061" s="16" t="str">
        <f>IF(B1061="Compra de estoque",VLOOKUP(C1061,Tabela1[#All],4,0)*E1061,"")</f>
        <v/>
      </c>
      <c r="H1061" s="16"/>
    </row>
    <row r="1062" spans="1:8" x14ac:dyDescent="0.25">
      <c r="A1062" s="14" t="str">
        <f t="shared" ca="1" si="16"/>
        <v/>
      </c>
      <c r="D1062" s="15" t="str">
        <f>IF(C1062="","",VLOOKUP(C1062,Tabela1[#All],2,0))</f>
        <v/>
      </c>
      <c r="F1062" s="16" t="str" cm="1">
        <f t="array" ref="F1062">IF(B1062="","",(IF(B1062="Compra de estoque","",(_xlfn.IFS(AND(B1062="Venda de produtos",H1062="Sul/Sudeste"),(VLOOKUP(C1062,Tabela1[#All],9,0)*E1062),AND(B1062="Venda de produtos",H1062="Nordeste"),(VLOOKUP(C1062,Tabela1[#All],11,0)*E1062),AND("Venda de produtos",H1062="Norte/Centro-Oeste"),(VLOOKUP(C1062,Tabela1[#All],13,0)*E1062))))))</f>
        <v/>
      </c>
      <c r="G1062" s="16" t="str">
        <f>IF(B1062="Compra de estoque",VLOOKUP(C1062,Tabela1[#All],4,0)*E1062,"")</f>
        <v/>
      </c>
      <c r="H1062" s="16"/>
    </row>
    <row r="1063" spans="1:8" x14ac:dyDescent="0.25">
      <c r="A1063" s="14" t="str">
        <f t="shared" ca="1" si="16"/>
        <v/>
      </c>
      <c r="D1063" s="15" t="str">
        <f>IF(C1063="","",VLOOKUP(C1063,Tabela1[#All],2,0))</f>
        <v/>
      </c>
      <c r="F1063" s="16" t="str" cm="1">
        <f t="array" ref="F1063">IF(B1063="","",(IF(B1063="Compra de estoque","",(_xlfn.IFS(AND(B1063="Venda de produtos",H1063="Sul/Sudeste"),(VLOOKUP(C1063,Tabela1[#All],9,0)*E1063),AND(B1063="Venda de produtos",H1063="Nordeste"),(VLOOKUP(C1063,Tabela1[#All],11,0)*E1063),AND("Venda de produtos",H1063="Norte/Centro-Oeste"),(VLOOKUP(C1063,Tabela1[#All],13,0)*E1063))))))</f>
        <v/>
      </c>
      <c r="G1063" s="16" t="str">
        <f>IF(B1063="Compra de estoque",VLOOKUP(C1063,Tabela1[#All],4,0)*E1063,"")</f>
        <v/>
      </c>
      <c r="H1063" s="16"/>
    </row>
    <row r="1064" spans="1:8" x14ac:dyDescent="0.25">
      <c r="A1064" s="14" t="str">
        <f t="shared" ca="1" si="16"/>
        <v/>
      </c>
      <c r="D1064" s="15" t="str">
        <f>IF(C1064="","",VLOOKUP(C1064,Tabela1[#All],2,0))</f>
        <v/>
      </c>
      <c r="F1064" s="16" t="str" cm="1">
        <f t="array" ref="F1064">IF(B1064="","",(IF(B1064="Compra de estoque","",(_xlfn.IFS(AND(B1064="Venda de produtos",H1064="Sul/Sudeste"),(VLOOKUP(C1064,Tabela1[#All],9,0)*E1064),AND(B1064="Venda de produtos",H1064="Nordeste"),(VLOOKUP(C1064,Tabela1[#All],11,0)*E1064),AND("Venda de produtos",H1064="Norte/Centro-Oeste"),(VLOOKUP(C1064,Tabela1[#All],13,0)*E1064))))))</f>
        <v/>
      </c>
      <c r="G1064" s="16" t="str">
        <f>IF(B1064="Compra de estoque",VLOOKUP(C1064,Tabela1[#All],4,0)*E1064,"")</f>
        <v/>
      </c>
      <c r="H1064" s="16"/>
    </row>
    <row r="1065" spans="1:8" x14ac:dyDescent="0.25">
      <c r="A1065" s="14" t="str">
        <f t="shared" ca="1" si="16"/>
        <v/>
      </c>
      <c r="D1065" s="15" t="str">
        <f>IF(C1065="","",VLOOKUP(C1065,Tabela1[#All],2,0))</f>
        <v/>
      </c>
      <c r="F1065" s="16" t="str" cm="1">
        <f t="array" ref="F1065">IF(B1065="","",(IF(B1065="Compra de estoque","",(_xlfn.IFS(AND(B1065="Venda de produtos",H1065="Sul/Sudeste"),(VLOOKUP(C1065,Tabela1[#All],9,0)*E1065),AND(B1065="Venda de produtos",H1065="Nordeste"),(VLOOKUP(C1065,Tabela1[#All],11,0)*E1065),AND("Venda de produtos",H1065="Norte/Centro-Oeste"),(VLOOKUP(C1065,Tabela1[#All],13,0)*E1065))))))</f>
        <v/>
      </c>
      <c r="G1065" s="16" t="str">
        <f>IF(B1065="Compra de estoque",VLOOKUP(C1065,Tabela1[#All],4,0)*E1065,"")</f>
        <v/>
      </c>
      <c r="H1065" s="16"/>
    </row>
    <row r="1066" spans="1:8" x14ac:dyDescent="0.25">
      <c r="A1066" s="14" t="str">
        <f t="shared" ca="1" si="16"/>
        <v/>
      </c>
      <c r="D1066" s="15" t="str">
        <f>IF(C1066="","",VLOOKUP(C1066,Tabela1[#All],2,0))</f>
        <v/>
      </c>
      <c r="F1066" s="16" t="str" cm="1">
        <f t="array" ref="F1066">IF(B1066="","",(IF(B1066="Compra de estoque","",(_xlfn.IFS(AND(B1066="Venda de produtos",H1066="Sul/Sudeste"),(VLOOKUP(C1066,Tabela1[#All],9,0)*E1066),AND(B1066="Venda de produtos",H1066="Nordeste"),(VLOOKUP(C1066,Tabela1[#All],11,0)*E1066),AND("Venda de produtos",H1066="Norte/Centro-Oeste"),(VLOOKUP(C1066,Tabela1[#All],13,0)*E1066))))))</f>
        <v/>
      </c>
      <c r="G1066" s="16" t="str">
        <f>IF(B1066="Compra de estoque",VLOOKUP(C1066,Tabela1[#All],4,0)*E1066,"")</f>
        <v/>
      </c>
      <c r="H1066" s="16"/>
    </row>
    <row r="1067" spans="1:8" x14ac:dyDescent="0.25">
      <c r="A1067" s="14" t="str">
        <f t="shared" ca="1" si="16"/>
        <v/>
      </c>
      <c r="D1067" s="15" t="str">
        <f>IF(C1067="","",VLOOKUP(C1067,Tabela1[#All],2,0))</f>
        <v/>
      </c>
      <c r="F1067" s="16" t="str" cm="1">
        <f t="array" ref="F1067">IF(B1067="","",(IF(B1067="Compra de estoque","",(_xlfn.IFS(AND(B1067="Venda de produtos",H1067="Sul/Sudeste"),(VLOOKUP(C1067,Tabela1[#All],9,0)*E1067),AND(B1067="Venda de produtos",H1067="Nordeste"),(VLOOKUP(C1067,Tabela1[#All],11,0)*E1067),AND("Venda de produtos",H1067="Norte/Centro-Oeste"),(VLOOKUP(C1067,Tabela1[#All],13,0)*E1067))))))</f>
        <v/>
      </c>
      <c r="G1067" s="16" t="str">
        <f>IF(B1067="Compra de estoque",VLOOKUP(C1067,Tabela1[#All],4,0)*E1067,"")</f>
        <v/>
      </c>
      <c r="H1067" s="16"/>
    </row>
    <row r="1068" spans="1:8" x14ac:dyDescent="0.25">
      <c r="A1068" s="14" t="str">
        <f t="shared" ca="1" si="16"/>
        <v/>
      </c>
      <c r="D1068" s="15" t="str">
        <f>IF(C1068="","",VLOOKUP(C1068,Tabela1[#All],2,0))</f>
        <v/>
      </c>
      <c r="F1068" s="16" t="str" cm="1">
        <f t="array" ref="F1068">IF(B1068="","",(IF(B1068="Compra de estoque","",(_xlfn.IFS(AND(B1068="Venda de produtos",H1068="Sul/Sudeste"),(VLOOKUP(C1068,Tabela1[#All],9,0)*E1068),AND(B1068="Venda de produtos",H1068="Nordeste"),(VLOOKUP(C1068,Tabela1[#All],11,0)*E1068),AND("Venda de produtos",H1068="Norte/Centro-Oeste"),(VLOOKUP(C1068,Tabela1[#All],13,0)*E1068))))))</f>
        <v/>
      </c>
      <c r="G1068" s="16" t="str">
        <f>IF(B1068="Compra de estoque",VLOOKUP(C1068,Tabela1[#All],4,0)*E1068,"")</f>
        <v/>
      </c>
      <c r="H1068" s="16"/>
    </row>
    <row r="1069" spans="1:8" x14ac:dyDescent="0.25">
      <c r="A1069" s="14" t="str">
        <f t="shared" ca="1" si="16"/>
        <v/>
      </c>
      <c r="D1069" s="15" t="str">
        <f>IF(C1069="","",VLOOKUP(C1069,Tabela1[#All],2,0))</f>
        <v/>
      </c>
      <c r="F1069" s="16" t="str" cm="1">
        <f t="array" ref="F1069">IF(B1069="","",(IF(B1069="Compra de estoque","",(_xlfn.IFS(AND(B1069="Venda de produtos",H1069="Sul/Sudeste"),(VLOOKUP(C1069,Tabela1[#All],9,0)*E1069),AND(B1069="Venda de produtos",H1069="Nordeste"),(VLOOKUP(C1069,Tabela1[#All],11,0)*E1069),AND("Venda de produtos",H1069="Norte/Centro-Oeste"),(VLOOKUP(C1069,Tabela1[#All],13,0)*E1069))))))</f>
        <v/>
      </c>
      <c r="G1069" s="16" t="str">
        <f>IF(B1069="Compra de estoque",VLOOKUP(C1069,Tabela1[#All],4,0)*E1069,"")</f>
        <v/>
      </c>
      <c r="H1069" s="16"/>
    </row>
    <row r="1070" spans="1:8" x14ac:dyDescent="0.25">
      <c r="A1070" s="14" t="str">
        <f t="shared" ca="1" si="16"/>
        <v/>
      </c>
      <c r="D1070" s="15" t="str">
        <f>IF(C1070="","",VLOOKUP(C1070,Tabela1[#All],2,0))</f>
        <v/>
      </c>
      <c r="F1070" s="16" t="str" cm="1">
        <f t="array" ref="F1070">IF(B1070="","",(IF(B1070="Compra de estoque","",(_xlfn.IFS(AND(B1070="Venda de produtos",H1070="Sul/Sudeste"),(VLOOKUP(C1070,Tabela1[#All],9,0)*E1070),AND(B1070="Venda de produtos",H1070="Nordeste"),(VLOOKUP(C1070,Tabela1[#All],11,0)*E1070),AND("Venda de produtos",H1070="Norte/Centro-Oeste"),(VLOOKUP(C1070,Tabela1[#All],13,0)*E1070))))))</f>
        <v/>
      </c>
      <c r="G1070" s="16" t="str">
        <f>IF(B1070="Compra de estoque",VLOOKUP(C1070,Tabela1[#All],4,0)*E1070,"")</f>
        <v/>
      </c>
      <c r="H1070" s="16"/>
    </row>
    <row r="1071" spans="1:8" x14ac:dyDescent="0.25">
      <c r="A1071" s="14" t="str">
        <f t="shared" ca="1" si="16"/>
        <v/>
      </c>
      <c r="D1071" s="15" t="str">
        <f>IF(C1071="","",VLOOKUP(C1071,Tabela1[#All],2,0))</f>
        <v/>
      </c>
      <c r="F1071" s="16" t="str" cm="1">
        <f t="array" ref="F1071">IF(B1071="","",(IF(B1071="Compra de estoque","",(_xlfn.IFS(AND(B1071="Venda de produtos",H1071="Sul/Sudeste"),(VLOOKUP(C1071,Tabela1[#All],9,0)*E1071),AND(B1071="Venda de produtos",H1071="Nordeste"),(VLOOKUP(C1071,Tabela1[#All],11,0)*E1071),AND("Venda de produtos",H1071="Norte/Centro-Oeste"),(VLOOKUP(C1071,Tabela1[#All],13,0)*E1071))))))</f>
        <v/>
      </c>
      <c r="G1071" s="16" t="str">
        <f>IF(B1071="Compra de estoque",VLOOKUP(C1071,Tabela1[#All],4,0)*E1071,"")</f>
        <v/>
      </c>
      <c r="H1071" s="16"/>
    </row>
    <row r="1072" spans="1:8" x14ac:dyDescent="0.25">
      <c r="A1072" s="14" t="str">
        <f t="shared" ca="1" si="16"/>
        <v/>
      </c>
      <c r="D1072" s="15" t="str">
        <f>IF(C1072="","",VLOOKUP(C1072,Tabela1[#All],2,0))</f>
        <v/>
      </c>
      <c r="F1072" s="16" t="str" cm="1">
        <f t="array" ref="F1072">IF(B1072="","",(IF(B1072="Compra de estoque","",(_xlfn.IFS(AND(B1072="Venda de produtos",H1072="Sul/Sudeste"),(VLOOKUP(C1072,Tabela1[#All],9,0)*E1072),AND(B1072="Venda de produtos",H1072="Nordeste"),(VLOOKUP(C1072,Tabela1[#All],11,0)*E1072),AND("Venda de produtos",H1072="Norte/Centro-Oeste"),(VLOOKUP(C1072,Tabela1[#All],13,0)*E1072))))))</f>
        <v/>
      </c>
      <c r="G1072" s="16" t="str">
        <f>IF(B1072="Compra de estoque",VLOOKUP(C1072,Tabela1[#All],4,0)*E1072,"")</f>
        <v/>
      </c>
      <c r="H1072" s="16"/>
    </row>
    <row r="1073" spans="1:8" x14ac:dyDescent="0.25">
      <c r="A1073" s="14" t="str">
        <f t="shared" ca="1" si="16"/>
        <v/>
      </c>
      <c r="D1073" s="15" t="str">
        <f>IF(C1073="","",VLOOKUP(C1073,Tabela1[#All],2,0))</f>
        <v/>
      </c>
      <c r="F1073" s="16" t="str" cm="1">
        <f t="array" ref="F1073">IF(B1073="","",(IF(B1073="Compra de estoque","",(_xlfn.IFS(AND(B1073="Venda de produtos",H1073="Sul/Sudeste"),(VLOOKUP(C1073,Tabela1[#All],9,0)*E1073),AND(B1073="Venda de produtos",H1073="Nordeste"),(VLOOKUP(C1073,Tabela1[#All],11,0)*E1073),AND("Venda de produtos",H1073="Norte/Centro-Oeste"),(VLOOKUP(C1073,Tabela1[#All],13,0)*E1073))))))</f>
        <v/>
      </c>
      <c r="G1073" s="16" t="str">
        <f>IF(B1073="Compra de estoque",VLOOKUP(C1073,Tabela1[#All],4,0)*E1073,"")</f>
        <v/>
      </c>
      <c r="H1073" s="16"/>
    </row>
    <row r="1074" spans="1:8" x14ac:dyDescent="0.25">
      <c r="A1074" s="14" t="str">
        <f t="shared" ca="1" si="16"/>
        <v/>
      </c>
      <c r="D1074" s="15" t="str">
        <f>IF(C1074="","",VLOOKUP(C1074,Tabela1[#All],2,0))</f>
        <v/>
      </c>
      <c r="F1074" s="16" t="str" cm="1">
        <f t="array" ref="F1074">IF(B1074="","",(IF(B1074="Compra de estoque","",(_xlfn.IFS(AND(B1074="Venda de produtos",H1074="Sul/Sudeste"),(VLOOKUP(C1074,Tabela1[#All],9,0)*E1074),AND(B1074="Venda de produtos",H1074="Nordeste"),(VLOOKUP(C1074,Tabela1[#All],11,0)*E1074),AND("Venda de produtos",H1074="Norte/Centro-Oeste"),(VLOOKUP(C1074,Tabela1[#All],13,0)*E1074))))))</f>
        <v/>
      </c>
      <c r="G1074" s="16" t="str">
        <f>IF(B1074="Compra de estoque",VLOOKUP(C1074,Tabela1[#All],4,0)*E1074,"")</f>
        <v/>
      </c>
      <c r="H1074" s="16"/>
    </row>
    <row r="1075" spans="1:8" x14ac:dyDescent="0.25">
      <c r="A1075" s="14" t="str">
        <f t="shared" ca="1" si="16"/>
        <v/>
      </c>
      <c r="D1075" s="15" t="str">
        <f>IF(C1075="","",VLOOKUP(C1075,Tabela1[#All],2,0))</f>
        <v/>
      </c>
      <c r="F1075" s="16" t="str" cm="1">
        <f t="array" ref="F1075">IF(B1075="","",(IF(B1075="Compra de estoque","",(_xlfn.IFS(AND(B1075="Venda de produtos",H1075="Sul/Sudeste"),(VLOOKUP(C1075,Tabela1[#All],9,0)*E1075),AND(B1075="Venda de produtos",H1075="Nordeste"),(VLOOKUP(C1075,Tabela1[#All],11,0)*E1075),AND("Venda de produtos",H1075="Norte/Centro-Oeste"),(VLOOKUP(C1075,Tabela1[#All],13,0)*E1075))))))</f>
        <v/>
      </c>
      <c r="G1075" s="16" t="str">
        <f>IF(B1075="Compra de estoque",VLOOKUP(C1075,Tabela1[#All],4,0)*E1075,"")</f>
        <v/>
      </c>
      <c r="H1075" s="16"/>
    </row>
    <row r="1076" spans="1:8" x14ac:dyDescent="0.25">
      <c r="A1076" s="14" t="str">
        <f t="shared" ca="1" si="16"/>
        <v/>
      </c>
      <c r="D1076" s="15" t="str">
        <f>IF(C1076="","",VLOOKUP(C1076,Tabela1[#All],2,0))</f>
        <v/>
      </c>
      <c r="F1076" s="16" t="str" cm="1">
        <f t="array" ref="F1076">IF(B1076="","",(IF(B1076="Compra de estoque","",(_xlfn.IFS(AND(B1076="Venda de produtos",H1076="Sul/Sudeste"),(VLOOKUP(C1076,Tabela1[#All],9,0)*E1076),AND(B1076="Venda de produtos",H1076="Nordeste"),(VLOOKUP(C1076,Tabela1[#All],11,0)*E1076),AND("Venda de produtos",H1076="Norte/Centro-Oeste"),(VLOOKUP(C1076,Tabela1[#All],13,0)*E1076))))))</f>
        <v/>
      </c>
      <c r="G1076" s="16" t="str">
        <f>IF(B1076="Compra de estoque",VLOOKUP(C1076,Tabela1[#All],4,0)*E1076,"")</f>
        <v/>
      </c>
      <c r="H1076" s="16"/>
    </row>
    <row r="1077" spans="1:8" x14ac:dyDescent="0.25">
      <c r="A1077" s="14" t="str">
        <f t="shared" ca="1" si="16"/>
        <v/>
      </c>
      <c r="D1077" s="15" t="str">
        <f>IF(C1077="","",VLOOKUP(C1077,Tabela1[#All],2,0))</f>
        <v/>
      </c>
      <c r="F1077" s="16" t="str" cm="1">
        <f t="array" ref="F1077">IF(B1077="","",(IF(B1077="Compra de estoque","",(_xlfn.IFS(AND(B1077="Venda de produtos",H1077="Sul/Sudeste"),(VLOOKUP(C1077,Tabela1[#All],9,0)*E1077),AND(B1077="Venda de produtos",H1077="Nordeste"),(VLOOKUP(C1077,Tabela1[#All],11,0)*E1077),AND("Venda de produtos",H1077="Norte/Centro-Oeste"),(VLOOKUP(C1077,Tabela1[#All],13,0)*E1077))))))</f>
        <v/>
      </c>
      <c r="G1077" s="16" t="str">
        <f>IF(B1077="Compra de estoque",VLOOKUP(C1077,Tabela1[#All],4,0)*E1077,"")</f>
        <v/>
      </c>
      <c r="H1077" s="16"/>
    </row>
    <row r="1078" spans="1:8" x14ac:dyDescent="0.25">
      <c r="A1078" s="14" t="str">
        <f t="shared" ca="1" si="16"/>
        <v/>
      </c>
      <c r="D1078" s="15" t="str">
        <f>IF(C1078="","",VLOOKUP(C1078,Tabela1[#All],2,0))</f>
        <v/>
      </c>
      <c r="F1078" s="16" t="str" cm="1">
        <f t="array" ref="F1078">IF(B1078="","",(IF(B1078="Compra de estoque","",(_xlfn.IFS(AND(B1078="Venda de produtos",H1078="Sul/Sudeste"),(VLOOKUP(C1078,Tabela1[#All],9,0)*E1078),AND(B1078="Venda de produtos",H1078="Nordeste"),(VLOOKUP(C1078,Tabela1[#All],11,0)*E1078),AND("Venda de produtos",H1078="Norte/Centro-Oeste"),(VLOOKUP(C1078,Tabela1[#All],13,0)*E1078))))))</f>
        <v/>
      </c>
      <c r="G1078" s="16" t="str">
        <f>IF(B1078="Compra de estoque",VLOOKUP(C1078,Tabela1[#All],4,0)*E1078,"")</f>
        <v/>
      </c>
      <c r="H1078" s="16"/>
    </row>
    <row r="1079" spans="1:8" x14ac:dyDescent="0.25">
      <c r="A1079" s="14" t="str">
        <f t="shared" ca="1" si="16"/>
        <v/>
      </c>
      <c r="D1079" s="15" t="str">
        <f>IF(C1079="","",VLOOKUP(C1079,Tabela1[#All],2,0))</f>
        <v/>
      </c>
      <c r="F1079" s="16" t="str" cm="1">
        <f t="array" ref="F1079">IF(B1079="","",(IF(B1079="Compra de estoque","",(_xlfn.IFS(AND(B1079="Venda de produtos",H1079="Sul/Sudeste"),(VLOOKUP(C1079,Tabela1[#All],9,0)*E1079),AND(B1079="Venda de produtos",H1079="Nordeste"),(VLOOKUP(C1079,Tabela1[#All],11,0)*E1079),AND("Venda de produtos",H1079="Norte/Centro-Oeste"),(VLOOKUP(C1079,Tabela1[#All],13,0)*E1079))))))</f>
        <v/>
      </c>
      <c r="G1079" s="16" t="str">
        <f>IF(B1079="Compra de estoque",VLOOKUP(C1079,Tabela1[#All],4,0)*E1079,"")</f>
        <v/>
      </c>
      <c r="H1079" s="16"/>
    </row>
    <row r="1080" spans="1:8" x14ac:dyDescent="0.25">
      <c r="A1080" s="14" t="str">
        <f t="shared" ca="1" si="16"/>
        <v/>
      </c>
      <c r="D1080" s="15" t="str">
        <f>IF(C1080="","",VLOOKUP(C1080,Tabela1[#All],2,0))</f>
        <v/>
      </c>
      <c r="F1080" s="16" t="str" cm="1">
        <f t="array" ref="F1080">IF(B1080="","",(IF(B1080="Compra de estoque","",(_xlfn.IFS(AND(B1080="Venda de produtos",H1080="Sul/Sudeste"),(VLOOKUP(C1080,Tabela1[#All],9,0)*E1080),AND(B1080="Venda de produtos",H1080="Nordeste"),(VLOOKUP(C1080,Tabela1[#All],11,0)*E1080),AND("Venda de produtos",H1080="Norte/Centro-Oeste"),(VLOOKUP(C1080,Tabela1[#All],13,0)*E1080))))))</f>
        <v/>
      </c>
      <c r="G1080" s="16" t="str">
        <f>IF(B1080="Compra de estoque",VLOOKUP(C1080,Tabela1[#All],4,0)*E1080,"")</f>
        <v/>
      </c>
      <c r="H1080" s="16"/>
    </row>
    <row r="1081" spans="1:8" x14ac:dyDescent="0.25">
      <c r="A1081" s="14" t="str">
        <f t="shared" ca="1" si="16"/>
        <v/>
      </c>
      <c r="D1081" s="15" t="str">
        <f>IF(C1081="","",VLOOKUP(C1081,Tabela1[#All],2,0))</f>
        <v/>
      </c>
      <c r="F1081" s="16" t="str" cm="1">
        <f t="array" ref="F1081">IF(B1081="","",(IF(B1081="Compra de estoque","",(_xlfn.IFS(AND(B1081="Venda de produtos",H1081="Sul/Sudeste"),(VLOOKUP(C1081,Tabela1[#All],9,0)*E1081),AND(B1081="Venda de produtos",H1081="Nordeste"),(VLOOKUP(C1081,Tabela1[#All],11,0)*E1081),AND("Venda de produtos",H1081="Norte/Centro-Oeste"),(VLOOKUP(C1081,Tabela1[#All],13,0)*E1081))))))</f>
        <v/>
      </c>
      <c r="G1081" s="16" t="str">
        <f>IF(B1081="Compra de estoque",VLOOKUP(C1081,Tabela1[#All],4,0)*E1081,"")</f>
        <v/>
      </c>
      <c r="H1081" s="16"/>
    </row>
    <row r="1082" spans="1:8" x14ac:dyDescent="0.25">
      <c r="A1082" s="14" t="str">
        <f t="shared" ca="1" si="16"/>
        <v/>
      </c>
      <c r="D1082" s="15" t="str">
        <f>IF(C1082="","",VLOOKUP(C1082,Tabela1[#All],2,0))</f>
        <v/>
      </c>
      <c r="F1082" s="16" t="str" cm="1">
        <f t="array" ref="F1082">IF(B1082="","",(IF(B1082="Compra de estoque","",(_xlfn.IFS(AND(B1082="Venda de produtos",H1082="Sul/Sudeste"),(VLOOKUP(C1082,Tabela1[#All],9,0)*E1082),AND(B1082="Venda de produtos",H1082="Nordeste"),(VLOOKUP(C1082,Tabela1[#All],11,0)*E1082),AND("Venda de produtos",H1082="Norte/Centro-Oeste"),(VLOOKUP(C1082,Tabela1[#All],13,0)*E1082))))))</f>
        <v/>
      </c>
      <c r="G1082" s="16" t="str">
        <f>IF(B1082="Compra de estoque",VLOOKUP(C1082,Tabela1[#All],4,0)*E1082,"")</f>
        <v/>
      </c>
      <c r="H1082" s="16"/>
    </row>
    <row r="1083" spans="1:8" x14ac:dyDescent="0.25">
      <c r="A1083" s="14" t="str">
        <f t="shared" ca="1" si="16"/>
        <v/>
      </c>
      <c r="D1083" s="15" t="str">
        <f>IF(C1083="","",VLOOKUP(C1083,Tabela1[#All],2,0))</f>
        <v/>
      </c>
      <c r="F1083" s="16" t="str" cm="1">
        <f t="array" ref="F1083">IF(B1083="","",(IF(B1083="Compra de estoque","",(_xlfn.IFS(AND(B1083="Venda de produtos",H1083="Sul/Sudeste"),(VLOOKUP(C1083,Tabela1[#All],9,0)*E1083),AND(B1083="Venda de produtos",H1083="Nordeste"),(VLOOKUP(C1083,Tabela1[#All],11,0)*E1083),AND("Venda de produtos",H1083="Norte/Centro-Oeste"),(VLOOKUP(C1083,Tabela1[#All],13,0)*E1083))))))</f>
        <v/>
      </c>
      <c r="G1083" s="16" t="str">
        <f>IF(B1083="Compra de estoque",VLOOKUP(C1083,Tabela1[#All],4,0)*E1083,"")</f>
        <v/>
      </c>
      <c r="H1083" s="16"/>
    </row>
    <row r="1084" spans="1:8" x14ac:dyDescent="0.25">
      <c r="A1084" s="14" t="str">
        <f t="shared" ca="1" si="16"/>
        <v/>
      </c>
      <c r="D1084" s="15" t="str">
        <f>IF(C1084="","",VLOOKUP(C1084,Tabela1[#All],2,0))</f>
        <v/>
      </c>
      <c r="F1084" s="16" t="str" cm="1">
        <f t="array" ref="F1084">IF(B1084="","",(IF(B1084="Compra de estoque","",(_xlfn.IFS(AND(B1084="Venda de produtos",H1084="Sul/Sudeste"),(VLOOKUP(C1084,Tabela1[#All],9,0)*E1084),AND(B1084="Venda de produtos",H1084="Nordeste"),(VLOOKUP(C1084,Tabela1[#All],11,0)*E1084),AND("Venda de produtos",H1084="Norte/Centro-Oeste"),(VLOOKUP(C1084,Tabela1[#All],13,0)*E1084))))))</f>
        <v/>
      </c>
      <c r="G1084" s="16" t="str">
        <f>IF(B1084="Compra de estoque",VLOOKUP(C1084,Tabela1[#All],4,0)*E1084,"")</f>
        <v/>
      </c>
      <c r="H1084" s="16"/>
    </row>
    <row r="1085" spans="1:8" x14ac:dyDescent="0.25">
      <c r="A1085" s="14" t="str">
        <f t="shared" ca="1" si="16"/>
        <v/>
      </c>
      <c r="D1085" s="15" t="str">
        <f>IF(C1085="","",VLOOKUP(C1085,Tabela1[#All],2,0))</f>
        <v/>
      </c>
      <c r="F1085" s="16" t="str" cm="1">
        <f t="array" ref="F1085">IF(B1085="","",(IF(B1085="Compra de estoque","",(_xlfn.IFS(AND(B1085="Venda de produtos",H1085="Sul/Sudeste"),(VLOOKUP(C1085,Tabela1[#All],9,0)*E1085),AND(B1085="Venda de produtos",H1085="Nordeste"),(VLOOKUP(C1085,Tabela1[#All],11,0)*E1085),AND("Venda de produtos",H1085="Norte/Centro-Oeste"),(VLOOKUP(C1085,Tabela1[#All],13,0)*E1085))))))</f>
        <v/>
      </c>
      <c r="G1085" s="16" t="str">
        <f>IF(B1085="Compra de estoque",VLOOKUP(C1085,Tabela1[#All],4,0)*E1085,"")</f>
        <v/>
      </c>
      <c r="H1085" s="16"/>
    </row>
    <row r="1086" spans="1:8" x14ac:dyDescent="0.25">
      <c r="A1086" s="14" t="str">
        <f t="shared" ca="1" si="16"/>
        <v/>
      </c>
      <c r="D1086" s="15" t="str">
        <f>IF(C1086="","",VLOOKUP(C1086,Tabela1[#All],2,0))</f>
        <v/>
      </c>
      <c r="F1086" s="16" t="str" cm="1">
        <f t="array" ref="F1086">IF(B1086="","",(IF(B1086="Compra de estoque","",(_xlfn.IFS(AND(B1086="Venda de produtos",H1086="Sul/Sudeste"),(VLOOKUP(C1086,Tabela1[#All],9,0)*E1086),AND(B1086="Venda de produtos",H1086="Nordeste"),(VLOOKUP(C1086,Tabela1[#All],11,0)*E1086),AND("Venda de produtos",H1086="Norte/Centro-Oeste"),(VLOOKUP(C1086,Tabela1[#All],13,0)*E1086))))))</f>
        <v/>
      </c>
      <c r="G1086" s="16" t="str">
        <f>IF(B1086="Compra de estoque",VLOOKUP(C1086,Tabela1[#All],4,0)*E1086,"")</f>
        <v/>
      </c>
      <c r="H1086" s="16"/>
    </row>
    <row r="1087" spans="1:8" x14ac:dyDescent="0.25">
      <c r="A1087" s="14" t="str">
        <f t="shared" ca="1" si="16"/>
        <v/>
      </c>
      <c r="D1087" s="15" t="str">
        <f>IF(C1087="","",VLOOKUP(C1087,Tabela1[#All],2,0))</f>
        <v/>
      </c>
      <c r="F1087" s="16" t="str" cm="1">
        <f t="array" ref="F1087">IF(B1087="","",(IF(B1087="Compra de estoque","",(_xlfn.IFS(AND(B1087="Venda de produtos",H1087="Sul/Sudeste"),(VLOOKUP(C1087,Tabela1[#All],9,0)*E1087),AND(B1087="Venda de produtos",H1087="Nordeste"),(VLOOKUP(C1087,Tabela1[#All],11,0)*E1087),AND("Venda de produtos",H1087="Norte/Centro-Oeste"),(VLOOKUP(C1087,Tabela1[#All],13,0)*E1087))))))</f>
        <v/>
      </c>
      <c r="G1087" s="16" t="str">
        <f>IF(B1087="Compra de estoque",VLOOKUP(C1087,Tabela1[#All],4,0)*E1087,"")</f>
        <v/>
      </c>
      <c r="H1087" s="16"/>
    </row>
    <row r="1088" spans="1:8" x14ac:dyDescent="0.25">
      <c r="A1088" s="14" t="str">
        <f t="shared" ca="1" si="16"/>
        <v/>
      </c>
      <c r="D1088" s="15" t="str">
        <f>IF(C1088="","",VLOOKUP(C1088,Tabela1[#All],2,0))</f>
        <v/>
      </c>
      <c r="F1088" s="16" t="str" cm="1">
        <f t="array" ref="F1088">IF(B1088="","",(IF(B1088="Compra de estoque","",(_xlfn.IFS(AND(B1088="Venda de produtos",H1088="Sul/Sudeste"),(VLOOKUP(C1088,Tabela1[#All],9,0)*E1088),AND(B1088="Venda de produtos",H1088="Nordeste"),(VLOOKUP(C1088,Tabela1[#All],11,0)*E1088),AND("Venda de produtos",H1088="Norte/Centro-Oeste"),(VLOOKUP(C1088,Tabela1[#All],13,0)*E1088))))))</f>
        <v/>
      </c>
      <c r="G1088" s="16" t="str">
        <f>IF(B1088="Compra de estoque",VLOOKUP(C1088,Tabela1[#All],4,0)*E1088,"")</f>
        <v/>
      </c>
      <c r="H1088" s="16"/>
    </row>
    <row r="1089" spans="1:8" x14ac:dyDescent="0.25">
      <c r="A1089" s="14" t="str">
        <f t="shared" ca="1" si="16"/>
        <v/>
      </c>
      <c r="D1089" s="15" t="str">
        <f>IF(C1089="","",VLOOKUP(C1089,Tabela1[#All],2,0))</f>
        <v/>
      </c>
      <c r="F1089" s="16" t="str" cm="1">
        <f t="array" ref="F1089">IF(B1089="","",(IF(B1089="Compra de estoque","",(_xlfn.IFS(AND(B1089="Venda de produtos",H1089="Sul/Sudeste"),(VLOOKUP(C1089,Tabela1[#All],9,0)*E1089),AND(B1089="Venda de produtos",H1089="Nordeste"),(VLOOKUP(C1089,Tabela1[#All],11,0)*E1089),AND("Venda de produtos",H1089="Norte/Centro-Oeste"),(VLOOKUP(C1089,Tabela1[#All],13,0)*E1089))))))</f>
        <v/>
      </c>
      <c r="G1089" s="16" t="str">
        <f>IF(B1089="Compra de estoque",VLOOKUP(C1089,Tabela1[#All],4,0)*E1089,"")</f>
        <v/>
      </c>
      <c r="H1089" s="16"/>
    </row>
    <row r="1090" spans="1:8" x14ac:dyDescent="0.25">
      <c r="A1090" s="14" t="str">
        <f t="shared" ca="1" si="16"/>
        <v/>
      </c>
      <c r="D1090" s="15" t="str">
        <f>IF(C1090="","",VLOOKUP(C1090,Tabela1[#All],2,0))</f>
        <v/>
      </c>
      <c r="F1090" s="16" t="str" cm="1">
        <f t="array" ref="F1090">IF(B1090="","",(IF(B1090="Compra de estoque","",(_xlfn.IFS(AND(B1090="Venda de produtos",H1090="Sul/Sudeste"),(VLOOKUP(C1090,Tabela1[#All],9,0)*E1090),AND(B1090="Venda de produtos",H1090="Nordeste"),(VLOOKUP(C1090,Tabela1[#All],11,0)*E1090),AND("Venda de produtos",H1090="Norte/Centro-Oeste"),(VLOOKUP(C1090,Tabela1[#All],13,0)*E1090))))))</f>
        <v/>
      </c>
      <c r="G1090" s="16" t="str">
        <f>IF(B1090="Compra de estoque",VLOOKUP(C1090,Tabela1[#All],4,0)*E1090,"")</f>
        <v/>
      </c>
      <c r="H1090" s="16"/>
    </row>
    <row r="1091" spans="1:8" x14ac:dyDescent="0.25">
      <c r="A1091" s="14" t="str">
        <f t="shared" ref="A1091:A1154" ca="1" si="17">IF(C1091="","",NOW())</f>
        <v/>
      </c>
      <c r="D1091" s="15" t="str">
        <f>IF(C1091="","",VLOOKUP(C1091,Tabela1[#All],2,0))</f>
        <v/>
      </c>
      <c r="F1091" s="16" t="str" cm="1">
        <f t="array" ref="F1091">IF(B1091="","",(IF(B1091="Compra de estoque","",(_xlfn.IFS(AND(B1091="Venda de produtos",H1091="Sul/Sudeste"),(VLOOKUP(C1091,Tabela1[#All],9,0)*E1091),AND(B1091="Venda de produtos",H1091="Nordeste"),(VLOOKUP(C1091,Tabela1[#All],11,0)*E1091),AND("Venda de produtos",H1091="Norte/Centro-Oeste"),(VLOOKUP(C1091,Tabela1[#All],13,0)*E1091))))))</f>
        <v/>
      </c>
      <c r="G1091" s="16" t="str">
        <f>IF(B1091="Compra de estoque",VLOOKUP(C1091,Tabela1[#All],4,0)*E1091,"")</f>
        <v/>
      </c>
      <c r="H1091" s="16"/>
    </row>
    <row r="1092" spans="1:8" x14ac:dyDescent="0.25">
      <c r="A1092" s="14" t="str">
        <f t="shared" ca="1" si="17"/>
        <v/>
      </c>
      <c r="D1092" s="15" t="str">
        <f>IF(C1092="","",VLOOKUP(C1092,Tabela1[#All],2,0))</f>
        <v/>
      </c>
      <c r="F1092" s="16" t="str" cm="1">
        <f t="array" ref="F1092">IF(B1092="","",(IF(B1092="Compra de estoque","",(_xlfn.IFS(AND(B1092="Venda de produtos",H1092="Sul/Sudeste"),(VLOOKUP(C1092,Tabela1[#All],9,0)*E1092),AND(B1092="Venda de produtos",H1092="Nordeste"),(VLOOKUP(C1092,Tabela1[#All],11,0)*E1092),AND("Venda de produtos",H1092="Norte/Centro-Oeste"),(VLOOKUP(C1092,Tabela1[#All],13,0)*E1092))))))</f>
        <v/>
      </c>
      <c r="G1092" s="16" t="str">
        <f>IF(B1092="Compra de estoque",VLOOKUP(C1092,Tabela1[#All],4,0)*E1092,"")</f>
        <v/>
      </c>
      <c r="H1092" s="16"/>
    </row>
    <row r="1093" spans="1:8" x14ac:dyDescent="0.25">
      <c r="A1093" s="14" t="str">
        <f t="shared" ca="1" si="17"/>
        <v/>
      </c>
      <c r="D1093" s="15" t="str">
        <f>IF(C1093="","",VLOOKUP(C1093,Tabela1[#All],2,0))</f>
        <v/>
      </c>
      <c r="F1093" s="16" t="str" cm="1">
        <f t="array" ref="F1093">IF(B1093="","",(IF(B1093="Compra de estoque","",(_xlfn.IFS(AND(B1093="Venda de produtos",H1093="Sul/Sudeste"),(VLOOKUP(C1093,Tabela1[#All],9,0)*E1093),AND(B1093="Venda de produtos",H1093="Nordeste"),(VLOOKUP(C1093,Tabela1[#All],11,0)*E1093),AND("Venda de produtos",H1093="Norte/Centro-Oeste"),(VLOOKUP(C1093,Tabela1[#All],13,0)*E1093))))))</f>
        <v/>
      </c>
      <c r="G1093" s="16" t="str">
        <f>IF(B1093="Compra de estoque",VLOOKUP(C1093,Tabela1[#All],4,0)*E1093,"")</f>
        <v/>
      </c>
      <c r="H1093" s="16"/>
    </row>
    <row r="1094" spans="1:8" x14ac:dyDescent="0.25">
      <c r="A1094" s="14" t="str">
        <f t="shared" ca="1" si="17"/>
        <v/>
      </c>
      <c r="D1094" s="15" t="str">
        <f>IF(C1094="","",VLOOKUP(C1094,Tabela1[#All],2,0))</f>
        <v/>
      </c>
      <c r="F1094" s="16" t="str" cm="1">
        <f t="array" ref="F1094">IF(B1094="","",(IF(B1094="Compra de estoque","",(_xlfn.IFS(AND(B1094="Venda de produtos",H1094="Sul/Sudeste"),(VLOOKUP(C1094,Tabela1[#All],9,0)*E1094),AND(B1094="Venda de produtos",H1094="Nordeste"),(VLOOKUP(C1094,Tabela1[#All],11,0)*E1094),AND("Venda de produtos",H1094="Norte/Centro-Oeste"),(VLOOKUP(C1094,Tabela1[#All],13,0)*E1094))))))</f>
        <v/>
      </c>
      <c r="G1094" s="16" t="str">
        <f>IF(B1094="Compra de estoque",VLOOKUP(C1094,Tabela1[#All],4,0)*E1094,"")</f>
        <v/>
      </c>
      <c r="H1094" s="16"/>
    </row>
    <row r="1095" spans="1:8" x14ac:dyDescent="0.25">
      <c r="A1095" s="14" t="str">
        <f t="shared" ca="1" si="17"/>
        <v/>
      </c>
      <c r="D1095" s="15" t="str">
        <f>IF(C1095="","",VLOOKUP(C1095,Tabela1[#All],2,0))</f>
        <v/>
      </c>
      <c r="F1095" s="16" t="str" cm="1">
        <f t="array" ref="F1095">IF(B1095="","",(IF(B1095="Compra de estoque","",(_xlfn.IFS(AND(B1095="Venda de produtos",H1095="Sul/Sudeste"),(VLOOKUP(C1095,Tabela1[#All],9,0)*E1095),AND(B1095="Venda de produtos",H1095="Nordeste"),(VLOOKUP(C1095,Tabela1[#All],11,0)*E1095),AND("Venda de produtos",H1095="Norte/Centro-Oeste"),(VLOOKUP(C1095,Tabela1[#All],13,0)*E1095))))))</f>
        <v/>
      </c>
      <c r="G1095" s="16" t="str">
        <f>IF(B1095="Compra de estoque",VLOOKUP(C1095,Tabela1[#All],4,0)*E1095,"")</f>
        <v/>
      </c>
      <c r="H1095" s="16"/>
    </row>
    <row r="1096" spans="1:8" x14ac:dyDescent="0.25">
      <c r="A1096" s="14" t="str">
        <f t="shared" ca="1" si="17"/>
        <v/>
      </c>
      <c r="D1096" s="15" t="str">
        <f>IF(C1096="","",VLOOKUP(C1096,Tabela1[#All],2,0))</f>
        <v/>
      </c>
      <c r="F1096" s="16" t="str" cm="1">
        <f t="array" ref="F1096">IF(B1096="","",(IF(B1096="Compra de estoque","",(_xlfn.IFS(AND(B1096="Venda de produtos",H1096="Sul/Sudeste"),(VLOOKUP(C1096,Tabela1[#All],9,0)*E1096),AND(B1096="Venda de produtos",H1096="Nordeste"),(VLOOKUP(C1096,Tabela1[#All],11,0)*E1096),AND("Venda de produtos",H1096="Norte/Centro-Oeste"),(VLOOKUP(C1096,Tabela1[#All],13,0)*E1096))))))</f>
        <v/>
      </c>
      <c r="G1096" s="16" t="str">
        <f>IF(B1096="Compra de estoque",VLOOKUP(C1096,Tabela1[#All],4,0)*E1096,"")</f>
        <v/>
      </c>
      <c r="H1096" s="16"/>
    </row>
    <row r="1097" spans="1:8" x14ac:dyDescent="0.25">
      <c r="A1097" s="14" t="str">
        <f t="shared" ca="1" si="17"/>
        <v/>
      </c>
      <c r="D1097" s="15" t="str">
        <f>IF(C1097="","",VLOOKUP(C1097,Tabela1[#All],2,0))</f>
        <v/>
      </c>
      <c r="F1097" s="16" t="str" cm="1">
        <f t="array" ref="F1097">IF(B1097="","",(IF(B1097="Compra de estoque","",(_xlfn.IFS(AND(B1097="Venda de produtos",H1097="Sul/Sudeste"),(VLOOKUP(C1097,Tabela1[#All],9,0)*E1097),AND(B1097="Venda de produtos",H1097="Nordeste"),(VLOOKUP(C1097,Tabela1[#All],11,0)*E1097),AND("Venda de produtos",H1097="Norte/Centro-Oeste"),(VLOOKUP(C1097,Tabela1[#All],13,0)*E1097))))))</f>
        <v/>
      </c>
      <c r="G1097" s="16" t="str">
        <f>IF(B1097="Compra de estoque",VLOOKUP(C1097,Tabela1[#All],4,0)*E1097,"")</f>
        <v/>
      </c>
      <c r="H1097" s="16"/>
    </row>
    <row r="1098" spans="1:8" x14ac:dyDescent="0.25">
      <c r="A1098" s="14" t="str">
        <f t="shared" ca="1" si="17"/>
        <v/>
      </c>
      <c r="D1098" s="15" t="str">
        <f>IF(C1098="","",VLOOKUP(C1098,Tabela1[#All],2,0))</f>
        <v/>
      </c>
      <c r="F1098" s="16" t="str" cm="1">
        <f t="array" ref="F1098">IF(B1098="","",(IF(B1098="Compra de estoque","",(_xlfn.IFS(AND(B1098="Venda de produtos",H1098="Sul/Sudeste"),(VLOOKUP(C1098,Tabela1[#All],9,0)*E1098),AND(B1098="Venda de produtos",H1098="Nordeste"),(VLOOKUP(C1098,Tabela1[#All],11,0)*E1098),AND("Venda de produtos",H1098="Norte/Centro-Oeste"),(VLOOKUP(C1098,Tabela1[#All],13,0)*E1098))))))</f>
        <v/>
      </c>
      <c r="G1098" s="16" t="str">
        <f>IF(B1098="Compra de estoque",VLOOKUP(C1098,Tabela1[#All],4,0)*E1098,"")</f>
        <v/>
      </c>
      <c r="H1098" s="16"/>
    </row>
    <row r="1099" spans="1:8" x14ac:dyDescent="0.25">
      <c r="A1099" s="14" t="str">
        <f t="shared" ca="1" si="17"/>
        <v/>
      </c>
      <c r="D1099" s="15" t="str">
        <f>IF(C1099="","",VLOOKUP(C1099,Tabela1[#All],2,0))</f>
        <v/>
      </c>
      <c r="F1099" s="16" t="str" cm="1">
        <f t="array" ref="F1099">IF(B1099="","",(IF(B1099="Compra de estoque","",(_xlfn.IFS(AND(B1099="Venda de produtos",H1099="Sul/Sudeste"),(VLOOKUP(C1099,Tabela1[#All],9,0)*E1099),AND(B1099="Venda de produtos",H1099="Nordeste"),(VLOOKUP(C1099,Tabela1[#All],11,0)*E1099),AND("Venda de produtos",H1099="Norte/Centro-Oeste"),(VLOOKUP(C1099,Tabela1[#All],13,0)*E1099))))))</f>
        <v/>
      </c>
      <c r="G1099" s="16" t="str">
        <f>IF(B1099="Compra de estoque",VLOOKUP(C1099,Tabela1[#All],4,0)*E1099,"")</f>
        <v/>
      </c>
      <c r="H1099" s="16"/>
    </row>
    <row r="1100" spans="1:8" x14ac:dyDescent="0.25">
      <c r="A1100" s="14" t="str">
        <f t="shared" ca="1" si="17"/>
        <v/>
      </c>
      <c r="D1100" s="15" t="str">
        <f>IF(C1100="","",VLOOKUP(C1100,Tabela1[#All],2,0))</f>
        <v/>
      </c>
      <c r="F1100" s="16" t="str" cm="1">
        <f t="array" ref="F1100">IF(B1100="","",(IF(B1100="Compra de estoque","",(_xlfn.IFS(AND(B1100="Venda de produtos",H1100="Sul/Sudeste"),(VLOOKUP(C1100,Tabela1[#All],9,0)*E1100),AND(B1100="Venda de produtos",H1100="Nordeste"),(VLOOKUP(C1100,Tabela1[#All],11,0)*E1100),AND("Venda de produtos",H1100="Norte/Centro-Oeste"),(VLOOKUP(C1100,Tabela1[#All],13,0)*E1100))))))</f>
        <v/>
      </c>
      <c r="G1100" s="16" t="str">
        <f>IF(B1100="Compra de estoque",VLOOKUP(C1100,Tabela1[#All],4,0)*E1100,"")</f>
        <v/>
      </c>
      <c r="H1100" s="16"/>
    </row>
    <row r="1101" spans="1:8" x14ac:dyDescent="0.25">
      <c r="A1101" s="14" t="str">
        <f t="shared" ca="1" si="17"/>
        <v/>
      </c>
      <c r="D1101" s="15" t="str">
        <f>IF(C1101="","",VLOOKUP(C1101,Tabela1[#All],2,0))</f>
        <v/>
      </c>
      <c r="F1101" s="16" t="str" cm="1">
        <f t="array" ref="F1101">IF(B1101="","",(IF(B1101="Compra de estoque","",(_xlfn.IFS(AND(B1101="Venda de produtos",H1101="Sul/Sudeste"),(VLOOKUP(C1101,Tabela1[#All],9,0)*E1101),AND(B1101="Venda de produtos",H1101="Nordeste"),(VLOOKUP(C1101,Tabela1[#All],11,0)*E1101),AND("Venda de produtos",H1101="Norte/Centro-Oeste"),(VLOOKUP(C1101,Tabela1[#All],13,0)*E1101))))))</f>
        <v/>
      </c>
      <c r="G1101" s="16" t="str">
        <f>IF(B1101="Compra de estoque",VLOOKUP(C1101,Tabela1[#All],4,0)*E1101,"")</f>
        <v/>
      </c>
      <c r="H1101" s="16"/>
    </row>
    <row r="1102" spans="1:8" x14ac:dyDescent="0.25">
      <c r="A1102" s="14" t="str">
        <f t="shared" ca="1" si="17"/>
        <v/>
      </c>
      <c r="D1102" s="15" t="str">
        <f>IF(C1102="","",VLOOKUP(C1102,Tabela1[#All],2,0))</f>
        <v/>
      </c>
      <c r="F1102" s="16" t="str" cm="1">
        <f t="array" ref="F1102">IF(B1102="","",(IF(B1102="Compra de estoque","",(_xlfn.IFS(AND(B1102="Venda de produtos",H1102="Sul/Sudeste"),(VLOOKUP(C1102,Tabela1[#All],9,0)*E1102),AND(B1102="Venda de produtos",H1102="Nordeste"),(VLOOKUP(C1102,Tabela1[#All],11,0)*E1102),AND("Venda de produtos",H1102="Norte/Centro-Oeste"),(VLOOKUP(C1102,Tabela1[#All],13,0)*E1102))))))</f>
        <v/>
      </c>
      <c r="G1102" s="16" t="str">
        <f>IF(B1102="Compra de estoque",VLOOKUP(C1102,Tabela1[#All],4,0)*E1102,"")</f>
        <v/>
      </c>
      <c r="H1102" s="16"/>
    </row>
    <row r="1103" spans="1:8" x14ac:dyDescent="0.25">
      <c r="A1103" s="14" t="str">
        <f t="shared" ca="1" si="17"/>
        <v/>
      </c>
      <c r="D1103" s="15" t="str">
        <f>IF(C1103="","",VLOOKUP(C1103,Tabela1[#All],2,0))</f>
        <v/>
      </c>
      <c r="F1103" s="16" t="str" cm="1">
        <f t="array" ref="F1103">IF(B1103="","",(IF(B1103="Compra de estoque","",(_xlfn.IFS(AND(B1103="Venda de produtos",H1103="Sul/Sudeste"),(VLOOKUP(C1103,Tabela1[#All],9,0)*E1103),AND(B1103="Venda de produtos",H1103="Nordeste"),(VLOOKUP(C1103,Tabela1[#All],11,0)*E1103),AND("Venda de produtos",H1103="Norte/Centro-Oeste"),(VLOOKUP(C1103,Tabela1[#All],13,0)*E1103))))))</f>
        <v/>
      </c>
      <c r="G1103" s="16" t="str">
        <f>IF(B1103="Compra de estoque",VLOOKUP(C1103,Tabela1[#All],4,0)*E1103,"")</f>
        <v/>
      </c>
      <c r="H1103" s="16"/>
    </row>
    <row r="1104" spans="1:8" x14ac:dyDescent="0.25">
      <c r="A1104" s="14" t="str">
        <f t="shared" ca="1" si="17"/>
        <v/>
      </c>
      <c r="D1104" s="15" t="str">
        <f>IF(C1104="","",VLOOKUP(C1104,Tabela1[#All],2,0))</f>
        <v/>
      </c>
      <c r="F1104" s="16" t="str" cm="1">
        <f t="array" ref="F1104">IF(B1104="","",(IF(B1104="Compra de estoque","",(_xlfn.IFS(AND(B1104="Venda de produtos",H1104="Sul/Sudeste"),(VLOOKUP(C1104,Tabela1[#All],9,0)*E1104),AND(B1104="Venda de produtos",H1104="Nordeste"),(VLOOKUP(C1104,Tabela1[#All],11,0)*E1104),AND("Venda de produtos",H1104="Norte/Centro-Oeste"),(VLOOKUP(C1104,Tabela1[#All],13,0)*E1104))))))</f>
        <v/>
      </c>
      <c r="G1104" s="16" t="str">
        <f>IF(B1104="Compra de estoque",VLOOKUP(C1104,Tabela1[#All],4,0)*E1104,"")</f>
        <v/>
      </c>
      <c r="H1104" s="16"/>
    </row>
    <row r="1105" spans="1:8" x14ac:dyDescent="0.25">
      <c r="A1105" s="14" t="str">
        <f t="shared" ca="1" si="17"/>
        <v/>
      </c>
      <c r="D1105" s="15" t="str">
        <f>IF(C1105="","",VLOOKUP(C1105,Tabela1[#All],2,0))</f>
        <v/>
      </c>
      <c r="F1105" s="16" t="str" cm="1">
        <f t="array" ref="F1105">IF(B1105="","",(IF(B1105="Compra de estoque","",(_xlfn.IFS(AND(B1105="Venda de produtos",H1105="Sul/Sudeste"),(VLOOKUP(C1105,Tabela1[#All],9,0)*E1105),AND(B1105="Venda de produtos",H1105="Nordeste"),(VLOOKUP(C1105,Tabela1[#All],11,0)*E1105),AND("Venda de produtos",H1105="Norte/Centro-Oeste"),(VLOOKUP(C1105,Tabela1[#All],13,0)*E1105))))))</f>
        <v/>
      </c>
      <c r="G1105" s="16" t="str">
        <f>IF(B1105="Compra de estoque",VLOOKUP(C1105,Tabela1[#All],4,0)*E1105,"")</f>
        <v/>
      </c>
      <c r="H1105" s="16"/>
    </row>
    <row r="1106" spans="1:8" x14ac:dyDescent="0.25">
      <c r="A1106" s="14" t="str">
        <f t="shared" ca="1" si="17"/>
        <v/>
      </c>
      <c r="D1106" s="15" t="str">
        <f>IF(C1106="","",VLOOKUP(C1106,Tabela1[#All],2,0))</f>
        <v/>
      </c>
      <c r="F1106" s="16" t="str" cm="1">
        <f t="array" ref="F1106">IF(B1106="","",(IF(B1106="Compra de estoque","",(_xlfn.IFS(AND(B1106="Venda de produtos",H1106="Sul/Sudeste"),(VLOOKUP(C1106,Tabela1[#All],9,0)*E1106),AND(B1106="Venda de produtos",H1106="Nordeste"),(VLOOKUP(C1106,Tabela1[#All],11,0)*E1106),AND("Venda de produtos",H1106="Norte/Centro-Oeste"),(VLOOKUP(C1106,Tabela1[#All],13,0)*E1106))))))</f>
        <v/>
      </c>
      <c r="G1106" s="16" t="str">
        <f>IF(B1106="Compra de estoque",VLOOKUP(C1106,Tabela1[#All],4,0)*E1106,"")</f>
        <v/>
      </c>
      <c r="H1106" s="16"/>
    </row>
    <row r="1107" spans="1:8" x14ac:dyDescent="0.25">
      <c r="A1107" s="14" t="str">
        <f t="shared" ca="1" si="17"/>
        <v/>
      </c>
      <c r="D1107" s="15" t="str">
        <f>IF(C1107="","",VLOOKUP(C1107,Tabela1[#All],2,0))</f>
        <v/>
      </c>
      <c r="F1107" s="16" t="str" cm="1">
        <f t="array" ref="F1107">IF(B1107="","",(IF(B1107="Compra de estoque","",(_xlfn.IFS(AND(B1107="Venda de produtos",H1107="Sul/Sudeste"),(VLOOKUP(C1107,Tabela1[#All],9,0)*E1107),AND(B1107="Venda de produtos",H1107="Nordeste"),(VLOOKUP(C1107,Tabela1[#All],11,0)*E1107),AND("Venda de produtos",H1107="Norte/Centro-Oeste"),(VLOOKUP(C1107,Tabela1[#All],13,0)*E1107))))))</f>
        <v/>
      </c>
      <c r="G1107" s="16" t="str">
        <f>IF(B1107="Compra de estoque",VLOOKUP(C1107,Tabela1[#All],4,0)*E1107,"")</f>
        <v/>
      </c>
      <c r="H1107" s="16"/>
    </row>
    <row r="1108" spans="1:8" x14ac:dyDescent="0.25">
      <c r="A1108" s="14" t="str">
        <f t="shared" ca="1" si="17"/>
        <v/>
      </c>
      <c r="D1108" s="15" t="str">
        <f>IF(C1108="","",VLOOKUP(C1108,Tabela1[#All],2,0))</f>
        <v/>
      </c>
      <c r="F1108" s="16" t="str" cm="1">
        <f t="array" ref="F1108">IF(B1108="","",(IF(B1108="Compra de estoque","",(_xlfn.IFS(AND(B1108="Venda de produtos",H1108="Sul/Sudeste"),(VLOOKUP(C1108,Tabela1[#All],9,0)*E1108),AND(B1108="Venda de produtos",H1108="Nordeste"),(VLOOKUP(C1108,Tabela1[#All],11,0)*E1108),AND("Venda de produtos",H1108="Norte/Centro-Oeste"),(VLOOKUP(C1108,Tabela1[#All],13,0)*E1108))))))</f>
        <v/>
      </c>
      <c r="G1108" s="16" t="str">
        <f>IF(B1108="Compra de estoque",VLOOKUP(C1108,Tabela1[#All],4,0)*E1108,"")</f>
        <v/>
      </c>
      <c r="H1108" s="16"/>
    </row>
    <row r="1109" spans="1:8" x14ac:dyDescent="0.25">
      <c r="A1109" s="14" t="str">
        <f t="shared" ca="1" si="17"/>
        <v/>
      </c>
      <c r="D1109" s="15" t="str">
        <f>IF(C1109="","",VLOOKUP(C1109,Tabela1[#All],2,0))</f>
        <v/>
      </c>
      <c r="F1109" s="16" t="str" cm="1">
        <f t="array" ref="F1109">IF(B1109="","",(IF(B1109="Compra de estoque","",(_xlfn.IFS(AND(B1109="Venda de produtos",H1109="Sul/Sudeste"),(VLOOKUP(C1109,Tabela1[#All],9,0)*E1109),AND(B1109="Venda de produtos",H1109="Nordeste"),(VLOOKUP(C1109,Tabela1[#All],11,0)*E1109),AND("Venda de produtos",H1109="Norte/Centro-Oeste"),(VLOOKUP(C1109,Tabela1[#All],13,0)*E1109))))))</f>
        <v/>
      </c>
      <c r="G1109" s="16" t="str">
        <f>IF(B1109="Compra de estoque",VLOOKUP(C1109,Tabela1[#All],4,0)*E1109,"")</f>
        <v/>
      </c>
      <c r="H1109" s="16"/>
    </row>
    <row r="1110" spans="1:8" x14ac:dyDescent="0.25">
      <c r="A1110" s="14" t="str">
        <f t="shared" ca="1" si="17"/>
        <v/>
      </c>
      <c r="D1110" s="15" t="str">
        <f>IF(C1110="","",VLOOKUP(C1110,Tabela1[#All],2,0))</f>
        <v/>
      </c>
      <c r="F1110" s="16" t="str" cm="1">
        <f t="array" ref="F1110">IF(B1110="","",(IF(B1110="Compra de estoque","",(_xlfn.IFS(AND(B1110="Venda de produtos",H1110="Sul/Sudeste"),(VLOOKUP(C1110,Tabela1[#All],9,0)*E1110),AND(B1110="Venda de produtos",H1110="Nordeste"),(VLOOKUP(C1110,Tabela1[#All],11,0)*E1110),AND("Venda de produtos",H1110="Norte/Centro-Oeste"),(VLOOKUP(C1110,Tabela1[#All],13,0)*E1110))))))</f>
        <v/>
      </c>
      <c r="G1110" s="16" t="str">
        <f>IF(B1110="Compra de estoque",VLOOKUP(C1110,Tabela1[#All],4,0)*E1110,"")</f>
        <v/>
      </c>
      <c r="H1110" s="16"/>
    </row>
    <row r="1111" spans="1:8" x14ac:dyDescent="0.25">
      <c r="A1111" s="14" t="str">
        <f t="shared" ca="1" si="17"/>
        <v/>
      </c>
      <c r="D1111" s="15" t="str">
        <f>IF(C1111="","",VLOOKUP(C1111,Tabela1[#All],2,0))</f>
        <v/>
      </c>
      <c r="F1111" s="16" t="str" cm="1">
        <f t="array" ref="F1111">IF(B1111="","",(IF(B1111="Compra de estoque","",(_xlfn.IFS(AND(B1111="Venda de produtos",H1111="Sul/Sudeste"),(VLOOKUP(C1111,Tabela1[#All],9,0)*E1111),AND(B1111="Venda de produtos",H1111="Nordeste"),(VLOOKUP(C1111,Tabela1[#All],11,0)*E1111),AND("Venda de produtos",H1111="Norte/Centro-Oeste"),(VLOOKUP(C1111,Tabela1[#All],13,0)*E1111))))))</f>
        <v/>
      </c>
      <c r="G1111" s="16" t="str">
        <f>IF(B1111="Compra de estoque",VLOOKUP(C1111,Tabela1[#All],4,0)*E1111,"")</f>
        <v/>
      </c>
      <c r="H1111" s="16"/>
    </row>
    <row r="1112" spans="1:8" x14ac:dyDescent="0.25">
      <c r="A1112" s="14" t="str">
        <f t="shared" ca="1" si="17"/>
        <v/>
      </c>
      <c r="D1112" s="15" t="str">
        <f>IF(C1112="","",VLOOKUP(C1112,Tabela1[#All],2,0))</f>
        <v/>
      </c>
      <c r="F1112" s="16" t="str" cm="1">
        <f t="array" ref="F1112">IF(B1112="","",(IF(B1112="Compra de estoque","",(_xlfn.IFS(AND(B1112="Venda de produtos",H1112="Sul/Sudeste"),(VLOOKUP(C1112,Tabela1[#All],9,0)*E1112),AND(B1112="Venda de produtos",H1112="Nordeste"),(VLOOKUP(C1112,Tabela1[#All],11,0)*E1112),AND("Venda de produtos",H1112="Norte/Centro-Oeste"),(VLOOKUP(C1112,Tabela1[#All],13,0)*E1112))))))</f>
        <v/>
      </c>
      <c r="G1112" s="16" t="str">
        <f>IF(B1112="Compra de estoque",VLOOKUP(C1112,Tabela1[#All],4,0)*E1112,"")</f>
        <v/>
      </c>
      <c r="H1112" s="16"/>
    </row>
    <row r="1113" spans="1:8" x14ac:dyDescent="0.25">
      <c r="A1113" s="14" t="str">
        <f t="shared" ca="1" si="17"/>
        <v/>
      </c>
      <c r="D1113" s="15" t="str">
        <f>IF(C1113="","",VLOOKUP(C1113,Tabela1[#All],2,0))</f>
        <v/>
      </c>
      <c r="F1113" s="16" t="str" cm="1">
        <f t="array" ref="F1113">IF(B1113="","",(IF(B1113="Compra de estoque","",(_xlfn.IFS(AND(B1113="Venda de produtos",H1113="Sul/Sudeste"),(VLOOKUP(C1113,Tabela1[#All],9,0)*E1113),AND(B1113="Venda de produtos",H1113="Nordeste"),(VLOOKUP(C1113,Tabela1[#All],11,0)*E1113),AND("Venda de produtos",H1113="Norte/Centro-Oeste"),(VLOOKUP(C1113,Tabela1[#All],13,0)*E1113))))))</f>
        <v/>
      </c>
      <c r="G1113" s="16" t="str">
        <f>IF(B1113="Compra de estoque",VLOOKUP(C1113,Tabela1[#All],4,0)*E1113,"")</f>
        <v/>
      </c>
      <c r="H1113" s="16"/>
    </row>
    <row r="1114" spans="1:8" x14ac:dyDescent="0.25">
      <c r="A1114" s="14" t="str">
        <f t="shared" ca="1" si="17"/>
        <v/>
      </c>
      <c r="D1114" s="15" t="str">
        <f>IF(C1114="","",VLOOKUP(C1114,Tabela1[#All],2,0))</f>
        <v/>
      </c>
      <c r="F1114" s="16" t="str" cm="1">
        <f t="array" ref="F1114">IF(B1114="","",(IF(B1114="Compra de estoque","",(_xlfn.IFS(AND(B1114="Venda de produtos",H1114="Sul/Sudeste"),(VLOOKUP(C1114,Tabela1[#All],9,0)*E1114),AND(B1114="Venda de produtos",H1114="Nordeste"),(VLOOKUP(C1114,Tabela1[#All],11,0)*E1114),AND("Venda de produtos",H1114="Norte/Centro-Oeste"),(VLOOKUP(C1114,Tabela1[#All],13,0)*E1114))))))</f>
        <v/>
      </c>
      <c r="G1114" s="16" t="str">
        <f>IF(B1114="Compra de estoque",VLOOKUP(C1114,Tabela1[#All],4,0)*E1114,"")</f>
        <v/>
      </c>
      <c r="H1114" s="16"/>
    </row>
    <row r="1115" spans="1:8" x14ac:dyDescent="0.25">
      <c r="A1115" s="14" t="str">
        <f t="shared" ca="1" si="17"/>
        <v/>
      </c>
      <c r="D1115" s="15" t="str">
        <f>IF(C1115="","",VLOOKUP(C1115,Tabela1[#All],2,0))</f>
        <v/>
      </c>
      <c r="F1115" s="16" t="str" cm="1">
        <f t="array" ref="F1115">IF(B1115="","",(IF(B1115="Compra de estoque","",(_xlfn.IFS(AND(B1115="Venda de produtos",H1115="Sul/Sudeste"),(VLOOKUP(C1115,Tabela1[#All],9,0)*E1115),AND(B1115="Venda de produtos",H1115="Nordeste"),(VLOOKUP(C1115,Tabela1[#All],11,0)*E1115),AND("Venda de produtos",H1115="Norte/Centro-Oeste"),(VLOOKUP(C1115,Tabela1[#All],13,0)*E1115))))))</f>
        <v/>
      </c>
      <c r="G1115" s="16" t="str">
        <f>IF(B1115="Compra de estoque",VLOOKUP(C1115,Tabela1[#All],4,0)*E1115,"")</f>
        <v/>
      </c>
      <c r="H1115" s="16"/>
    </row>
    <row r="1116" spans="1:8" x14ac:dyDescent="0.25">
      <c r="A1116" s="14" t="str">
        <f t="shared" ca="1" si="17"/>
        <v/>
      </c>
      <c r="D1116" s="15" t="str">
        <f>IF(C1116="","",VLOOKUP(C1116,Tabela1[#All],2,0))</f>
        <v/>
      </c>
      <c r="F1116" s="16" t="str" cm="1">
        <f t="array" ref="F1116">IF(B1116="","",(IF(B1116="Compra de estoque","",(_xlfn.IFS(AND(B1116="Venda de produtos",H1116="Sul/Sudeste"),(VLOOKUP(C1116,Tabela1[#All],9,0)*E1116),AND(B1116="Venda de produtos",H1116="Nordeste"),(VLOOKUP(C1116,Tabela1[#All],11,0)*E1116),AND("Venda de produtos",H1116="Norte/Centro-Oeste"),(VLOOKUP(C1116,Tabela1[#All],13,0)*E1116))))))</f>
        <v/>
      </c>
      <c r="G1116" s="16" t="str">
        <f>IF(B1116="Compra de estoque",VLOOKUP(C1116,Tabela1[#All],4,0)*E1116,"")</f>
        <v/>
      </c>
      <c r="H1116" s="16"/>
    </row>
    <row r="1117" spans="1:8" x14ac:dyDescent="0.25">
      <c r="A1117" s="14" t="str">
        <f t="shared" ca="1" si="17"/>
        <v/>
      </c>
      <c r="D1117" s="15" t="str">
        <f>IF(C1117="","",VLOOKUP(C1117,Tabela1[#All],2,0))</f>
        <v/>
      </c>
      <c r="F1117" s="16" t="str" cm="1">
        <f t="array" ref="F1117">IF(B1117="","",(IF(B1117="Compra de estoque","",(_xlfn.IFS(AND(B1117="Venda de produtos",H1117="Sul/Sudeste"),(VLOOKUP(C1117,Tabela1[#All],9,0)*E1117),AND(B1117="Venda de produtos",H1117="Nordeste"),(VLOOKUP(C1117,Tabela1[#All],11,0)*E1117),AND("Venda de produtos",H1117="Norte/Centro-Oeste"),(VLOOKUP(C1117,Tabela1[#All],13,0)*E1117))))))</f>
        <v/>
      </c>
      <c r="G1117" s="16" t="str">
        <f>IF(B1117="Compra de estoque",VLOOKUP(C1117,Tabela1[#All],4,0)*E1117,"")</f>
        <v/>
      </c>
      <c r="H1117" s="16"/>
    </row>
    <row r="1118" spans="1:8" x14ac:dyDescent="0.25">
      <c r="A1118" s="14" t="str">
        <f t="shared" ca="1" si="17"/>
        <v/>
      </c>
      <c r="D1118" s="15" t="str">
        <f>IF(C1118="","",VLOOKUP(C1118,Tabela1[#All],2,0))</f>
        <v/>
      </c>
      <c r="F1118" s="16" t="str" cm="1">
        <f t="array" ref="F1118">IF(B1118="","",(IF(B1118="Compra de estoque","",(_xlfn.IFS(AND(B1118="Venda de produtos",H1118="Sul/Sudeste"),(VLOOKUP(C1118,Tabela1[#All],9,0)*E1118),AND(B1118="Venda de produtos",H1118="Nordeste"),(VLOOKUP(C1118,Tabela1[#All],11,0)*E1118),AND("Venda de produtos",H1118="Norte/Centro-Oeste"),(VLOOKUP(C1118,Tabela1[#All],13,0)*E1118))))))</f>
        <v/>
      </c>
      <c r="G1118" s="16" t="str">
        <f>IF(B1118="Compra de estoque",VLOOKUP(C1118,Tabela1[#All],4,0)*E1118,"")</f>
        <v/>
      </c>
      <c r="H1118" s="16"/>
    </row>
    <row r="1119" spans="1:8" x14ac:dyDescent="0.25">
      <c r="A1119" s="14" t="str">
        <f t="shared" ca="1" si="17"/>
        <v/>
      </c>
      <c r="D1119" s="15" t="str">
        <f>IF(C1119="","",VLOOKUP(C1119,Tabela1[#All],2,0))</f>
        <v/>
      </c>
      <c r="F1119" s="16" t="str" cm="1">
        <f t="array" ref="F1119">IF(B1119="","",(IF(B1119="Compra de estoque","",(_xlfn.IFS(AND(B1119="Venda de produtos",H1119="Sul/Sudeste"),(VLOOKUP(C1119,Tabela1[#All],9,0)*E1119),AND(B1119="Venda de produtos",H1119="Nordeste"),(VLOOKUP(C1119,Tabela1[#All],11,0)*E1119),AND("Venda de produtos",H1119="Norte/Centro-Oeste"),(VLOOKUP(C1119,Tabela1[#All],13,0)*E1119))))))</f>
        <v/>
      </c>
      <c r="G1119" s="16" t="str">
        <f>IF(B1119="Compra de estoque",VLOOKUP(C1119,Tabela1[#All],4,0)*E1119,"")</f>
        <v/>
      </c>
      <c r="H1119" s="16"/>
    </row>
    <row r="1120" spans="1:8" x14ac:dyDescent="0.25">
      <c r="A1120" s="14" t="str">
        <f t="shared" ca="1" si="17"/>
        <v/>
      </c>
      <c r="D1120" s="15" t="str">
        <f>IF(C1120="","",VLOOKUP(C1120,Tabela1[#All],2,0))</f>
        <v/>
      </c>
      <c r="F1120" s="16" t="str" cm="1">
        <f t="array" ref="F1120">IF(B1120="","",(IF(B1120="Compra de estoque","",(_xlfn.IFS(AND(B1120="Venda de produtos",H1120="Sul/Sudeste"),(VLOOKUP(C1120,Tabela1[#All],9,0)*E1120),AND(B1120="Venda de produtos",H1120="Nordeste"),(VLOOKUP(C1120,Tabela1[#All],11,0)*E1120),AND("Venda de produtos",H1120="Norte/Centro-Oeste"),(VLOOKUP(C1120,Tabela1[#All],13,0)*E1120))))))</f>
        <v/>
      </c>
      <c r="G1120" s="16" t="str">
        <f>IF(B1120="Compra de estoque",VLOOKUP(C1120,Tabela1[#All],4,0)*E1120,"")</f>
        <v/>
      </c>
      <c r="H1120" s="16"/>
    </row>
    <row r="1121" spans="1:8" x14ac:dyDescent="0.25">
      <c r="A1121" s="14" t="str">
        <f t="shared" ca="1" si="17"/>
        <v/>
      </c>
      <c r="D1121" s="15" t="str">
        <f>IF(C1121="","",VLOOKUP(C1121,Tabela1[#All],2,0))</f>
        <v/>
      </c>
      <c r="F1121" s="16" t="str" cm="1">
        <f t="array" ref="F1121">IF(B1121="","",(IF(B1121="Compra de estoque","",(_xlfn.IFS(AND(B1121="Venda de produtos",H1121="Sul/Sudeste"),(VLOOKUP(C1121,Tabela1[#All],9,0)*E1121),AND(B1121="Venda de produtos",H1121="Nordeste"),(VLOOKUP(C1121,Tabela1[#All],11,0)*E1121),AND("Venda de produtos",H1121="Norte/Centro-Oeste"),(VLOOKUP(C1121,Tabela1[#All],13,0)*E1121))))))</f>
        <v/>
      </c>
      <c r="G1121" s="16" t="str">
        <f>IF(B1121="Compra de estoque",VLOOKUP(C1121,Tabela1[#All],4,0)*E1121,"")</f>
        <v/>
      </c>
      <c r="H1121" s="16"/>
    </row>
    <row r="1122" spans="1:8" x14ac:dyDescent="0.25">
      <c r="A1122" s="14" t="str">
        <f t="shared" ca="1" si="17"/>
        <v/>
      </c>
      <c r="D1122" s="15" t="str">
        <f>IF(C1122="","",VLOOKUP(C1122,Tabela1[#All],2,0))</f>
        <v/>
      </c>
      <c r="F1122" s="16" t="str" cm="1">
        <f t="array" ref="F1122">IF(B1122="","",(IF(B1122="Compra de estoque","",(_xlfn.IFS(AND(B1122="Venda de produtos",H1122="Sul/Sudeste"),(VLOOKUP(C1122,Tabela1[#All],9,0)*E1122),AND(B1122="Venda de produtos",H1122="Nordeste"),(VLOOKUP(C1122,Tabela1[#All],11,0)*E1122),AND("Venda de produtos",H1122="Norte/Centro-Oeste"),(VLOOKUP(C1122,Tabela1[#All],13,0)*E1122))))))</f>
        <v/>
      </c>
      <c r="G1122" s="16" t="str">
        <f>IF(B1122="Compra de estoque",VLOOKUP(C1122,Tabela1[#All],4,0)*E1122,"")</f>
        <v/>
      </c>
      <c r="H1122" s="16"/>
    </row>
    <row r="1123" spans="1:8" x14ac:dyDescent="0.25">
      <c r="A1123" s="14" t="str">
        <f t="shared" ca="1" si="17"/>
        <v/>
      </c>
      <c r="D1123" s="15" t="str">
        <f>IF(C1123="","",VLOOKUP(C1123,Tabela1[#All],2,0))</f>
        <v/>
      </c>
      <c r="F1123" s="16" t="str" cm="1">
        <f t="array" ref="F1123">IF(B1123="","",(IF(B1123="Compra de estoque","",(_xlfn.IFS(AND(B1123="Venda de produtos",H1123="Sul/Sudeste"),(VLOOKUP(C1123,Tabela1[#All],9,0)*E1123),AND(B1123="Venda de produtos",H1123="Nordeste"),(VLOOKUP(C1123,Tabela1[#All],11,0)*E1123),AND("Venda de produtos",H1123="Norte/Centro-Oeste"),(VLOOKUP(C1123,Tabela1[#All],13,0)*E1123))))))</f>
        <v/>
      </c>
      <c r="G1123" s="16" t="str">
        <f>IF(B1123="Compra de estoque",VLOOKUP(C1123,Tabela1[#All],4,0)*E1123,"")</f>
        <v/>
      </c>
      <c r="H1123" s="16"/>
    </row>
    <row r="1124" spans="1:8" x14ac:dyDescent="0.25">
      <c r="A1124" s="14" t="str">
        <f t="shared" ca="1" si="17"/>
        <v/>
      </c>
      <c r="D1124" s="15" t="str">
        <f>IF(C1124="","",VLOOKUP(C1124,Tabela1[#All],2,0))</f>
        <v/>
      </c>
      <c r="F1124" s="16" t="str" cm="1">
        <f t="array" ref="F1124">IF(B1124="","",(IF(B1124="Compra de estoque","",(_xlfn.IFS(AND(B1124="Venda de produtos",H1124="Sul/Sudeste"),(VLOOKUP(C1124,Tabela1[#All],9,0)*E1124),AND(B1124="Venda de produtos",H1124="Nordeste"),(VLOOKUP(C1124,Tabela1[#All],11,0)*E1124),AND("Venda de produtos",H1124="Norte/Centro-Oeste"),(VLOOKUP(C1124,Tabela1[#All],13,0)*E1124))))))</f>
        <v/>
      </c>
      <c r="G1124" s="16" t="str">
        <f>IF(B1124="Compra de estoque",VLOOKUP(C1124,Tabela1[#All],4,0)*E1124,"")</f>
        <v/>
      </c>
      <c r="H1124" s="16"/>
    </row>
    <row r="1125" spans="1:8" x14ac:dyDescent="0.25">
      <c r="A1125" s="14" t="str">
        <f t="shared" ca="1" si="17"/>
        <v/>
      </c>
      <c r="D1125" s="15" t="str">
        <f>IF(C1125="","",VLOOKUP(C1125,Tabela1[#All],2,0))</f>
        <v/>
      </c>
      <c r="F1125" s="16" t="str" cm="1">
        <f t="array" ref="F1125">IF(B1125="","",(IF(B1125="Compra de estoque","",(_xlfn.IFS(AND(B1125="Venda de produtos",H1125="Sul/Sudeste"),(VLOOKUP(C1125,Tabela1[#All],9,0)*E1125),AND(B1125="Venda de produtos",H1125="Nordeste"),(VLOOKUP(C1125,Tabela1[#All],11,0)*E1125),AND("Venda de produtos",H1125="Norte/Centro-Oeste"),(VLOOKUP(C1125,Tabela1[#All],13,0)*E1125))))))</f>
        <v/>
      </c>
      <c r="G1125" s="16" t="str">
        <f>IF(B1125="Compra de estoque",VLOOKUP(C1125,Tabela1[#All],4,0)*E1125,"")</f>
        <v/>
      </c>
      <c r="H1125" s="16"/>
    </row>
    <row r="1126" spans="1:8" x14ac:dyDescent="0.25">
      <c r="A1126" s="14" t="str">
        <f t="shared" ca="1" si="17"/>
        <v/>
      </c>
      <c r="D1126" s="15" t="str">
        <f>IF(C1126="","",VLOOKUP(C1126,Tabela1[#All],2,0))</f>
        <v/>
      </c>
      <c r="F1126" s="16" t="str" cm="1">
        <f t="array" ref="F1126">IF(B1126="","",(IF(B1126="Compra de estoque","",(_xlfn.IFS(AND(B1126="Venda de produtos",H1126="Sul/Sudeste"),(VLOOKUP(C1126,Tabela1[#All],9,0)*E1126),AND(B1126="Venda de produtos",H1126="Nordeste"),(VLOOKUP(C1126,Tabela1[#All],11,0)*E1126),AND("Venda de produtos",H1126="Norte/Centro-Oeste"),(VLOOKUP(C1126,Tabela1[#All],13,0)*E1126))))))</f>
        <v/>
      </c>
      <c r="G1126" s="16" t="str">
        <f>IF(B1126="Compra de estoque",VLOOKUP(C1126,Tabela1[#All],4,0)*E1126,"")</f>
        <v/>
      </c>
      <c r="H1126" s="16"/>
    </row>
    <row r="1127" spans="1:8" x14ac:dyDescent="0.25">
      <c r="A1127" s="14" t="str">
        <f t="shared" ca="1" si="17"/>
        <v/>
      </c>
      <c r="D1127" s="15" t="str">
        <f>IF(C1127="","",VLOOKUP(C1127,Tabela1[#All],2,0))</f>
        <v/>
      </c>
      <c r="F1127" s="16" t="str" cm="1">
        <f t="array" ref="F1127">IF(B1127="","",(IF(B1127="Compra de estoque","",(_xlfn.IFS(AND(B1127="Venda de produtos",H1127="Sul/Sudeste"),(VLOOKUP(C1127,Tabela1[#All],9,0)*E1127),AND(B1127="Venda de produtos",H1127="Nordeste"),(VLOOKUP(C1127,Tabela1[#All],11,0)*E1127),AND("Venda de produtos",H1127="Norte/Centro-Oeste"),(VLOOKUP(C1127,Tabela1[#All],13,0)*E1127))))))</f>
        <v/>
      </c>
      <c r="G1127" s="16" t="str">
        <f>IF(B1127="Compra de estoque",VLOOKUP(C1127,Tabela1[#All],4,0)*E1127,"")</f>
        <v/>
      </c>
      <c r="H1127" s="16"/>
    </row>
    <row r="1128" spans="1:8" x14ac:dyDescent="0.25">
      <c r="A1128" s="14" t="str">
        <f t="shared" ca="1" si="17"/>
        <v/>
      </c>
      <c r="D1128" s="15" t="str">
        <f>IF(C1128="","",VLOOKUP(C1128,Tabela1[#All],2,0))</f>
        <v/>
      </c>
      <c r="F1128" s="16" t="str" cm="1">
        <f t="array" ref="F1128">IF(B1128="","",(IF(B1128="Compra de estoque","",(_xlfn.IFS(AND(B1128="Venda de produtos",H1128="Sul/Sudeste"),(VLOOKUP(C1128,Tabela1[#All],9,0)*E1128),AND(B1128="Venda de produtos",H1128="Nordeste"),(VLOOKUP(C1128,Tabela1[#All],11,0)*E1128),AND("Venda de produtos",H1128="Norte/Centro-Oeste"),(VLOOKUP(C1128,Tabela1[#All],13,0)*E1128))))))</f>
        <v/>
      </c>
      <c r="G1128" s="16" t="str">
        <f>IF(B1128="Compra de estoque",VLOOKUP(C1128,Tabela1[#All],4,0)*E1128,"")</f>
        <v/>
      </c>
      <c r="H1128" s="16"/>
    </row>
    <row r="1129" spans="1:8" x14ac:dyDescent="0.25">
      <c r="A1129" s="14" t="str">
        <f t="shared" ca="1" si="17"/>
        <v/>
      </c>
      <c r="D1129" s="15" t="str">
        <f>IF(C1129="","",VLOOKUP(C1129,Tabela1[#All],2,0))</f>
        <v/>
      </c>
      <c r="F1129" s="16" t="str" cm="1">
        <f t="array" ref="F1129">IF(B1129="","",(IF(B1129="Compra de estoque","",(_xlfn.IFS(AND(B1129="Venda de produtos",H1129="Sul/Sudeste"),(VLOOKUP(C1129,Tabela1[#All],9,0)*E1129),AND(B1129="Venda de produtos",H1129="Nordeste"),(VLOOKUP(C1129,Tabela1[#All],11,0)*E1129),AND("Venda de produtos",H1129="Norte/Centro-Oeste"),(VLOOKUP(C1129,Tabela1[#All],13,0)*E1129))))))</f>
        <v/>
      </c>
      <c r="G1129" s="16" t="str">
        <f>IF(B1129="Compra de estoque",VLOOKUP(C1129,Tabela1[#All],4,0)*E1129,"")</f>
        <v/>
      </c>
      <c r="H1129" s="16"/>
    </row>
    <row r="1130" spans="1:8" x14ac:dyDescent="0.25">
      <c r="A1130" s="14" t="str">
        <f t="shared" ca="1" si="17"/>
        <v/>
      </c>
      <c r="D1130" s="15" t="str">
        <f>IF(C1130="","",VLOOKUP(C1130,Tabela1[#All],2,0))</f>
        <v/>
      </c>
      <c r="F1130" s="16" t="str" cm="1">
        <f t="array" ref="F1130">IF(B1130="","",(IF(B1130="Compra de estoque","",(_xlfn.IFS(AND(B1130="Venda de produtos",H1130="Sul/Sudeste"),(VLOOKUP(C1130,Tabela1[#All],9,0)*E1130),AND(B1130="Venda de produtos",H1130="Nordeste"),(VLOOKUP(C1130,Tabela1[#All],11,0)*E1130),AND("Venda de produtos",H1130="Norte/Centro-Oeste"),(VLOOKUP(C1130,Tabela1[#All],13,0)*E1130))))))</f>
        <v/>
      </c>
      <c r="G1130" s="16" t="str">
        <f>IF(B1130="Compra de estoque",VLOOKUP(C1130,Tabela1[#All],4,0)*E1130,"")</f>
        <v/>
      </c>
      <c r="H1130" s="16"/>
    </row>
    <row r="1131" spans="1:8" x14ac:dyDescent="0.25">
      <c r="A1131" s="14" t="str">
        <f t="shared" ca="1" si="17"/>
        <v/>
      </c>
      <c r="D1131" s="15" t="str">
        <f>IF(C1131="","",VLOOKUP(C1131,Tabela1[#All],2,0))</f>
        <v/>
      </c>
      <c r="F1131" s="16" t="str" cm="1">
        <f t="array" ref="F1131">IF(B1131="","",(IF(B1131="Compra de estoque","",(_xlfn.IFS(AND(B1131="Venda de produtos",H1131="Sul/Sudeste"),(VLOOKUP(C1131,Tabela1[#All],9,0)*E1131),AND(B1131="Venda de produtos",H1131="Nordeste"),(VLOOKUP(C1131,Tabela1[#All],11,0)*E1131),AND("Venda de produtos",H1131="Norte/Centro-Oeste"),(VLOOKUP(C1131,Tabela1[#All],13,0)*E1131))))))</f>
        <v/>
      </c>
      <c r="G1131" s="16" t="str">
        <f>IF(B1131="Compra de estoque",VLOOKUP(C1131,Tabela1[#All],4,0)*E1131,"")</f>
        <v/>
      </c>
      <c r="H1131" s="16"/>
    </row>
    <row r="1132" spans="1:8" x14ac:dyDescent="0.25">
      <c r="A1132" s="14" t="str">
        <f t="shared" ca="1" si="17"/>
        <v/>
      </c>
      <c r="D1132" s="15" t="str">
        <f>IF(C1132="","",VLOOKUP(C1132,Tabela1[#All],2,0))</f>
        <v/>
      </c>
      <c r="F1132" s="16" t="str" cm="1">
        <f t="array" ref="F1132">IF(B1132="","",(IF(B1132="Compra de estoque","",(_xlfn.IFS(AND(B1132="Venda de produtos",H1132="Sul/Sudeste"),(VLOOKUP(C1132,Tabela1[#All],9,0)*E1132),AND(B1132="Venda de produtos",H1132="Nordeste"),(VLOOKUP(C1132,Tabela1[#All],11,0)*E1132),AND("Venda de produtos",H1132="Norte/Centro-Oeste"),(VLOOKUP(C1132,Tabela1[#All],13,0)*E1132))))))</f>
        <v/>
      </c>
      <c r="G1132" s="16" t="str">
        <f>IF(B1132="Compra de estoque",VLOOKUP(C1132,Tabela1[#All],4,0)*E1132,"")</f>
        <v/>
      </c>
      <c r="H1132" s="16"/>
    </row>
    <row r="1133" spans="1:8" x14ac:dyDescent="0.25">
      <c r="A1133" s="14" t="str">
        <f t="shared" ca="1" si="17"/>
        <v/>
      </c>
      <c r="D1133" s="15" t="str">
        <f>IF(C1133="","",VLOOKUP(C1133,Tabela1[#All],2,0))</f>
        <v/>
      </c>
      <c r="F1133" s="16" t="str" cm="1">
        <f t="array" ref="F1133">IF(B1133="","",(IF(B1133="Compra de estoque","",(_xlfn.IFS(AND(B1133="Venda de produtos",H1133="Sul/Sudeste"),(VLOOKUP(C1133,Tabela1[#All],9,0)*E1133),AND(B1133="Venda de produtos",H1133="Nordeste"),(VLOOKUP(C1133,Tabela1[#All],11,0)*E1133),AND("Venda de produtos",H1133="Norte/Centro-Oeste"),(VLOOKUP(C1133,Tabela1[#All],13,0)*E1133))))))</f>
        <v/>
      </c>
      <c r="G1133" s="16" t="str">
        <f>IF(B1133="Compra de estoque",VLOOKUP(C1133,Tabela1[#All],4,0)*E1133,"")</f>
        <v/>
      </c>
      <c r="H1133" s="16"/>
    </row>
    <row r="1134" spans="1:8" x14ac:dyDescent="0.25">
      <c r="A1134" s="14" t="str">
        <f t="shared" ca="1" si="17"/>
        <v/>
      </c>
      <c r="D1134" s="15" t="str">
        <f>IF(C1134="","",VLOOKUP(C1134,Tabela1[#All],2,0))</f>
        <v/>
      </c>
      <c r="F1134" s="16" t="str" cm="1">
        <f t="array" ref="F1134">IF(B1134="","",(IF(B1134="Compra de estoque","",(_xlfn.IFS(AND(B1134="Venda de produtos",H1134="Sul/Sudeste"),(VLOOKUP(C1134,Tabela1[#All],9,0)*E1134),AND(B1134="Venda de produtos",H1134="Nordeste"),(VLOOKUP(C1134,Tabela1[#All],11,0)*E1134),AND("Venda de produtos",H1134="Norte/Centro-Oeste"),(VLOOKUP(C1134,Tabela1[#All],13,0)*E1134))))))</f>
        <v/>
      </c>
      <c r="G1134" s="16" t="str">
        <f>IF(B1134="Compra de estoque",VLOOKUP(C1134,Tabela1[#All],4,0)*E1134,"")</f>
        <v/>
      </c>
      <c r="H1134" s="16"/>
    </row>
    <row r="1135" spans="1:8" x14ac:dyDescent="0.25">
      <c r="A1135" s="14" t="str">
        <f t="shared" ca="1" si="17"/>
        <v/>
      </c>
      <c r="D1135" s="15" t="str">
        <f>IF(C1135="","",VLOOKUP(C1135,Tabela1[#All],2,0))</f>
        <v/>
      </c>
      <c r="F1135" s="16" t="str" cm="1">
        <f t="array" ref="F1135">IF(B1135="","",(IF(B1135="Compra de estoque","",(_xlfn.IFS(AND(B1135="Venda de produtos",H1135="Sul/Sudeste"),(VLOOKUP(C1135,Tabela1[#All],9,0)*E1135),AND(B1135="Venda de produtos",H1135="Nordeste"),(VLOOKUP(C1135,Tabela1[#All],11,0)*E1135),AND("Venda de produtos",H1135="Norte/Centro-Oeste"),(VLOOKUP(C1135,Tabela1[#All],13,0)*E1135))))))</f>
        <v/>
      </c>
      <c r="G1135" s="16" t="str">
        <f>IF(B1135="Compra de estoque",VLOOKUP(C1135,Tabela1[#All],4,0)*E1135,"")</f>
        <v/>
      </c>
      <c r="H1135" s="16"/>
    </row>
    <row r="1136" spans="1:8" x14ac:dyDescent="0.25">
      <c r="A1136" s="14" t="str">
        <f t="shared" ca="1" si="17"/>
        <v/>
      </c>
      <c r="D1136" s="15" t="str">
        <f>IF(C1136="","",VLOOKUP(C1136,Tabela1[#All],2,0))</f>
        <v/>
      </c>
      <c r="F1136" s="16" t="str" cm="1">
        <f t="array" ref="F1136">IF(B1136="","",(IF(B1136="Compra de estoque","",(_xlfn.IFS(AND(B1136="Venda de produtos",H1136="Sul/Sudeste"),(VLOOKUP(C1136,Tabela1[#All],9,0)*E1136),AND(B1136="Venda de produtos",H1136="Nordeste"),(VLOOKUP(C1136,Tabela1[#All],11,0)*E1136),AND("Venda de produtos",H1136="Norte/Centro-Oeste"),(VLOOKUP(C1136,Tabela1[#All],13,0)*E1136))))))</f>
        <v/>
      </c>
      <c r="G1136" s="16" t="str">
        <f>IF(B1136="Compra de estoque",VLOOKUP(C1136,Tabela1[#All],4,0)*E1136,"")</f>
        <v/>
      </c>
      <c r="H1136" s="16"/>
    </row>
    <row r="1137" spans="1:8" x14ac:dyDescent="0.25">
      <c r="A1137" s="14" t="str">
        <f t="shared" ca="1" si="17"/>
        <v/>
      </c>
      <c r="D1137" s="15" t="str">
        <f>IF(C1137="","",VLOOKUP(C1137,Tabela1[#All],2,0))</f>
        <v/>
      </c>
      <c r="F1137" s="16" t="str" cm="1">
        <f t="array" ref="F1137">IF(B1137="","",(IF(B1137="Compra de estoque","",(_xlfn.IFS(AND(B1137="Venda de produtos",H1137="Sul/Sudeste"),(VLOOKUP(C1137,Tabela1[#All],9,0)*E1137),AND(B1137="Venda de produtos",H1137="Nordeste"),(VLOOKUP(C1137,Tabela1[#All],11,0)*E1137),AND("Venda de produtos",H1137="Norte/Centro-Oeste"),(VLOOKUP(C1137,Tabela1[#All],13,0)*E1137))))))</f>
        <v/>
      </c>
      <c r="G1137" s="16" t="str">
        <f>IF(B1137="Compra de estoque",VLOOKUP(C1137,Tabela1[#All],4,0)*E1137,"")</f>
        <v/>
      </c>
      <c r="H1137" s="16"/>
    </row>
    <row r="1138" spans="1:8" x14ac:dyDescent="0.25">
      <c r="A1138" s="14" t="str">
        <f t="shared" ca="1" si="17"/>
        <v/>
      </c>
      <c r="D1138" s="15" t="str">
        <f>IF(C1138="","",VLOOKUP(C1138,Tabela1[#All],2,0))</f>
        <v/>
      </c>
      <c r="F1138" s="16" t="str" cm="1">
        <f t="array" ref="F1138">IF(B1138="","",(IF(B1138="Compra de estoque","",(_xlfn.IFS(AND(B1138="Venda de produtos",H1138="Sul/Sudeste"),(VLOOKUP(C1138,Tabela1[#All],9,0)*E1138),AND(B1138="Venda de produtos",H1138="Nordeste"),(VLOOKUP(C1138,Tabela1[#All],11,0)*E1138),AND("Venda de produtos",H1138="Norte/Centro-Oeste"),(VLOOKUP(C1138,Tabela1[#All],13,0)*E1138))))))</f>
        <v/>
      </c>
      <c r="G1138" s="16" t="str">
        <f>IF(B1138="Compra de estoque",VLOOKUP(C1138,Tabela1[#All],4,0)*E1138,"")</f>
        <v/>
      </c>
      <c r="H1138" s="16"/>
    </row>
    <row r="1139" spans="1:8" x14ac:dyDescent="0.25">
      <c r="A1139" s="14" t="str">
        <f t="shared" ca="1" si="17"/>
        <v/>
      </c>
      <c r="D1139" s="15" t="str">
        <f>IF(C1139="","",VLOOKUP(C1139,Tabela1[#All],2,0))</f>
        <v/>
      </c>
      <c r="F1139" s="16" t="str" cm="1">
        <f t="array" ref="F1139">IF(B1139="","",(IF(B1139="Compra de estoque","",(_xlfn.IFS(AND(B1139="Venda de produtos",H1139="Sul/Sudeste"),(VLOOKUP(C1139,Tabela1[#All],9,0)*E1139),AND(B1139="Venda de produtos",H1139="Nordeste"),(VLOOKUP(C1139,Tabela1[#All],11,0)*E1139),AND("Venda de produtos",H1139="Norte/Centro-Oeste"),(VLOOKUP(C1139,Tabela1[#All],13,0)*E1139))))))</f>
        <v/>
      </c>
      <c r="G1139" s="16" t="str">
        <f>IF(B1139="Compra de estoque",VLOOKUP(C1139,Tabela1[#All],4,0)*E1139,"")</f>
        <v/>
      </c>
      <c r="H1139" s="16"/>
    </row>
    <row r="1140" spans="1:8" x14ac:dyDescent="0.25">
      <c r="A1140" s="14" t="str">
        <f t="shared" ca="1" si="17"/>
        <v/>
      </c>
      <c r="D1140" s="15" t="str">
        <f>IF(C1140="","",VLOOKUP(C1140,Tabela1[#All],2,0))</f>
        <v/>
      </c>
      <c r="F1140" s="16" t="str" cm="1">
        <f t="array" ref="F1140">IF(B1140="","",(IF(B1140="Compra de estoque","",(_xlfn.IFS(AND(B1140="Venda de produtos",H1140="Sul/Sudeste"),(VLOOKUP(C1140,Tabela1[#All],9,0)*E1140),AND(B1140="Venda de produtos",H1140="Nordeste"),(VLOOKUP(C1140,Tabela1[#All],11,0)*E1140),AND("Venda de produtos",H1140="Norte/Centro-Oeste"),(VLOOKUP(C1140,Tabela1[#All],13,0)*E1140))))))</f>
        <v/>
      </c>
      <c r="G1140" s="16" t="str">
        <f>IF(B1140="Compra de estoque",VLOOKUP(C1140,Tabela1[#All],4,0)*E1140,"")</f>
        <v/>
      </c>
      <c r="H1140" s="16"/>
    </row>
    <row r="1141" spans="1:8" x14ac:dyDescent="0.25">
      <c r="A1141" s="14" t="str">
        <f t="shared" ca="1" si="17"/>
        <v/>
      </c>
      <c r="D1141" s="15" t="str">
        <f>IF(C1141="","",VLOOKUP(C1141,Tabela1[#All],2,0))</f>
        <v/>
      </c>
      <c r="F1141" s="16" t="str" cm="1">
        <f t="array" ref="F1141">IF(B1141="","",(IF(B1141="Compra de estoque","",(_xlfn.IFS(AND(B1141="Venda de produtos",H1141="Sul/Sudeste"),(VLOOKUP(C1141,Tabela1[#All],9,0)*E1141),AND(B1141="Venda de produtos",H1141="Nordeste"),(VLOOKUP(C1141,Tabela1[#All],11,0)*E1141),AND("Venda de produtos",H1141="Norte/Centro-Oeste"),(VLOOKUP(C1141,Tabela1[#All],13,0)*E1141))))))</f>
        <v/>
      </c>
      <c r="G1141" s="16" t="str">
        <f>IF(B1141="Compra de estoque",VLOOKUP(C1141,Tabela1[#All],4,0)*E1141,"")</f>
        <v/>
      </c>
      <c r="H1141" s="16"/>
    </row>
    <row r="1142" spans="1:8" x14ac:dyDescent="0.25">
      <c r="A1142" s="14" t="str">
        <f t="shared" ca="1" si="17"/>
        <v/>
      </c>
      <c r="D1142" s="15" t="str">
        <f>IF(C1142="","",VLOOKUP(C1142,Tabela1[#All],2,0))</f>
        <v/>
      </c>
      <c r="F1142" s="16" t="str" cm="1">
        <f t="array" ref="F1142">IF(B1142="","",(IF(B1142="Compra de estoque","",(_xlfn.IFS(AND(B1142="Venda de produtos",H1142="Sul/Sudeste"),(VLOOKUP(C1142,Tabela1[#All],9,0)*E1142),AND(B1142="Venda de produtos",H1142="Nordeste"),(VLOOKUP(C1142,Tabela1[#All],11,0)*E1142),AND("Venda de produtos",H1142="Norte/Centro-Oeste"),(VLOOKUP(C1142,Tabela1[#All],13,0)*E1142))))))</f>
        <v/>
      </c>
      <c r="G1142" s="16" t="str">
        <f>IF(B1142="Compra de estoque",VLOOKUP(C1142,Tabela1[#All],4,0)*E1142,"")</f>
        <v/>
      </c>
      <c r="H1142" s="16"/>
    </row>
    <row r="1143" spans="1:8" x14ac:dyDescent="0.25">
      <c r="A1143" s="14" t="str">
        <f t="shared" ca="1" si="17"/>
        <v/>
      </c>
      <c r="D1143" s="15" t="str">
        <f>IF(C1143="","",VLOOKUP(C1143,Tabela1[#All],2,0))</f>
        <v/>
      </c>
      <c r="F1143" s="16" t="str" cm="1">
        <f t="array" ref="F1143">IF(B1143="","",(IF(B1143="Compra de estoque","",(_xlfn.IFS(AND(B1143="Venda de produtos",H1143="Sul/Sudeste"),(VLOOKUP(C1143,Tabela1[#All],9,0)*E1143),AND(B1143="Venda de produtos",H1143="Nordeste"),(VLOOKUP(C1143,Tabela1[#All],11,0)*E1143),AND("Venda de produtos",H1143="Norte/Centro-Oeste"),(VLOOKUP(C1143,Tabela1[#All],13,0)*E1143))))))</f>
        <v/>
      </c>
      <c r="G1143" s="16" t="str">
        <f>IF(B1143="Compra de estoque",VLOOKUP(C1143,Tabela1[#All],4,0)*E1143,"")</f>
        <v/>
      </c>
      <c r="H1143" s="16"/>
    </row>
    <row r="1144" spans="1:8" x14ac:dyDescent="0.25">
      <c r="A1144" s="14" t="str">
        <f t="shared" ca="1" si="17"/>
        <v/>
      </c>
      <c r="D1144" s="15" t="str">
        <f>IF(C1144="","",VLOOKUP(C1144,Tabela1[#All],2,0))</f>
        <v/>
      </c>
      <c r="F1144" s="16" t="str" cm="1">
        <f t="array" ref="F1144">IF(B1144="","",(IF(B1144="Compra de estoque","",(_xlfn.IFS(AND(B1144="Venda de produtos",H1144="Sul/Sudeste"),(VLOOKUP(C1144,Tabela1[#All],9,0)*E1144),AND(B1144="Venda de produtos",H1144="Nordeste"),(VLOOKUP(C1144,Tabela1[#All],11,0)*E1144),AND("Venda de produtos",H1144="Norte/Centro-Oeste"),(VLOOKUP(C1144,Tabela1[#All],13,0)*E1144))))))</f>
        <v/>
      </c>
      <c r="G1144" s="16" t="str">
        <f>IF(B1144="Compra de estoque",VLOOKUP(C1144,Tabela1[#All],4,0)*E1144,"")</f>
        <v/>
      </c>
      <c r="H1144" s="16"/>
    </row>
    <row r="1145" spans="1:8" x14ac:dyDescent="0.25">
      <c r="A1145" s="14" t="str">
        <f t="shared" ca="1" si="17"/>
        <v/>
      </c>
      <c r="D1145" s="15" t="str">
        <f>IF(C1145="","",VLOOKUP(C1145,Tabela1[#All],2,0))</f>
        <v/>
      </c>
      <c r="F1145" s="16" t="str" cm="1">
        <f t="array" ref="F1145">IF(B1145="","",(IF(B1145="Compra de estoque","",(_xlfn.IFS(AND(B1145="Venda de produtos",H1145="Sul/Sudeste"),(VLOOKUP(C1145,Tabela1[#All],9,0)*E1145),AND(B1145="Venda de produtos",H1145="Nordeste"),(VLOOKUP(C1145,Tabela1[#All],11,0)*E1145),AND("Venda de produtos",H1145="Norte/Centro-Oeste"),(VLOOKUP(C1145,Tabela1[#All],13,0)*E1145))))))</f>
        <v/>
      </c>
      <c r="G1145" s="16" t="str">
        <f>IF(B1145="Compra de estoque",VLOOKUP(C1145,Tabela1[#All],4,0)*E1145,"")</f>
        <v/>
      </c>
      <c r="H1145" s="16"/>
    </row>
    <row r="1146" spans="1:8" x14ac:dyDescent="0.25">
      <c r="A1146" s="14" t="str">
        <f t="shared" ca="1" si="17"/>
        <v/>
      </c>
      <c r="D1146" s="15" t="str">
        <f>IF(C1146="","",VLOOKUP(C1146,Tabela1[#All],2,0))</f>
        <v/>
      </c>
      <c r="F1146" s="16" t="str" cm="1">
        <f t="array" ref="F1146">IF(B1146="","",(IF(B1146="Compra de estoque","",(_xlfn.IFS(AND(B1146="Venda de produtos",H1146="Sul/Sudeste"),(VLOOKUP(C1146,Tabela1[#All],9,0)*E1146),AND(B1146="Venda de produtos",H1146="Nordeste"),(VLOOKUP(C1146,Tabela1[#All],11,0)*E1146),AND("Venda de produtos",H1146="Norte/Centro-Oeste"),(VLOOKUP(C1146,Tabela1[#All],13,0)*E1146))))))</f>
        <v/>
      </c>
      <c r="G1146" s="16" t="str">
        <f>IF(B1146="Compra de estoque",VLOOKUP(C1146,Tabela1[#All],4,0)*E1146,"")</f>
        <v/>
      </c>
      <c r="H1146" s="16"/>
    </row>
    <row r="1147" spans="1:8" x14ac:dyDescent="0.25">
      <c r="A1147" s="14" t="str">
        <f t="shared" ca="1" si="17"/>
        <v/>
      </c>
      <c r="D1147" s="15" t="str">
        <f>IF(C1147="","",VLOOKUP(C1147,Tabela1[#All],2,0))</f>
        <v/>
      </c>
      <c r="F1147" s="16" t="str" cm="1">
        <f t="array" ref="F1147">IF(B1147="","",(IF(B1147="Compra de estoque","",(_xlfn.IFS(AND(B1147="Venda de produtos",H1147="Sul/Sudeste"),(VLOOKUP(C1147,Tabela1[#All],9,0)*E1147),AND(B1147="Venda de produtos",H1147="Nordeste"),(VLOOKUP(C1147,Tabela1[#All],11,0)*E1147),AND("Venda de produtos",H1147="Norte/Centro-Oeste"),(VLOOKUP(C1147,Tabela1[#All],13,0)*E1147))))))</f>
        <v/>
      </c>
      <c r="G1147" s="16" t="str">
        <f>IF(B1147="Compra de estoque",VLOOKUP(C1147,Tabela1[#All],4,0)*E1147,"")</f>
        <v/>
      </c>
      <c r="H1147" s="16"/>
    </row>
    <row r="1148" spans="1:8" x14ac:dyDescent="0.25">
      <c r="A1148" s="14" t="str">
        <f t="shared" ca="1" si="17"/>
        <v/>
      </c>
      <c r="D1148" s="15" t="str">
        <f>IF(C1148="","",VLOOKUP(C1148,Tabela1[#All],2,0))</f>
        <v/>
      </c>
      <c r="F1148" s="16" t="str" cm="1">
        <f t="array" ref="F1148">IF(B1148="","",(IF(B1148="Compra de estoque","",(_xlfn.IFS(AND(B1148="Venda de produtos",H1148="Sul/Sudeste"),(VLOOKUP(C1148,Tabela1[#All],9,0)*E1148),AND(B1148="Venda de produtos",H1148="Nordeste"),(VLOOKUP(C1148,Tabela1[#All],11,0)*E1148),AND("Venda de produtos",H1148="Norte/Centro-Oeste"),(VLOOKUP(C1148,Tabela1[#All],13,0)*E1148))))))</f>
        <v/>
      </c>
      <c r="G1148" s="16" t="str">
        <f>IF(B1148="Compra de estoque",VLOOKUP(C1148,Tabela1[#All],4,0)*E1148,"")</f>
        <v/>
      </c>
      <c r="H1148" s="16"/>
    </row>
    <row r="1149" spans="1:8" x14ac:dyDescent="0.25">
      <c r="A1149" s="14" t="str">
        <f t="shared" ca="1" si="17"/>
        <v/>
      </c>
      <c r="D1149" s="15" t="str">
        <f>IF(C1149="","",VLOOKUP(C1149,Tabela1[#All],2,0))</f>
        <v/>
      </c>
      <c r="F1149" s="16" t="str" cm="1">
        <f t="array" ref="F1149">IF(B1149="","",(IF(B1149="Compra de estoque","",(_xlfn.IFS(AND(B1149="Venda de produtos",H1149="Sul/Sudeste"),(VLOOKUP(C1149,Tabela1[#All],9,0)*E1149),AND(B1149="Venda de produtos",H1149="Nordeste"),(VLOOKUP(C1149,Tabela1[#All],11,0)*E1149),AND("Venda de produtos",H1149="Norte/Centro-Oeste"),(VLOOKUP(C1149,Tabela1[#All],13,0)*E1149))))))</f>
        <v/>
      </c>
      <c r="G1149" s="16" t="str">
        <f>IF(B1149="Compra de estoque",VLOOKUP(C1149,Tabela1[#All],4,0)*E1149,"")</f>
        <v/>
      </c>
      <c r="H1149" s="16"/>
    </row>
    <row r="1150" spans="1:8" x14ac:dyDescent="0.25">
      <c r="A1150" s="14" t="str">
        <f t="shared" ca="1" si="17"/>
        <v/>
      </c>
      <c r="D1150" s="15" t="str">
        <f>IF(C1150="","",VLOOKUP(C1150,Tabela1[#All],2,0))</f>
        <v/>
      </c>
      <c r="F1150" s="16" t="str" cm="1">
        <f t="array" ref="F1150">IF(B1150="","",(IF(B1150="Compra de estoque","",(_xlfn.IFS(AND(B1150="Venda de produtos",H1150="Sul/Sudeste"),(VLOOKUP(C1150,Tabela1[#All],9,0)*E1150),AND(B1150="Venda de produtos",H1150="Nordeste"),(VLOOKUP(C1150,Tabela1[#All],11,0)*E1150),AND("Venda de produtos",H1150="Norte/Centro-Oeste"),(VLOOKUP(C1150,Tabela1[#All],13,0)*E1150))))))</f>
        <v/>
      </c>
      <c r="G1150" s="16" t="str">
        <f>IF(B1150="Compra de estoque",VLOOKUP(C1150,Tabela1[#All],4,0)*E1150,"")</f>
        <v/>
      </c>
      <c r="H1150" s="16"/>
    </row>
    <row r="1151" spans="1:8" x14ac:dyDescent="0.25">
      <c r="A1151" s="14" t="str">
        <f t="shared" ca="1" si="17"/>
        <v/>
      </c>
      <c r="D1151" s="15" t="str">
        <f>IF(C1151="","",VLOOKUP(C1151,Tabela1[#All],2,0))</f>
        <v/>
      </c>
      <c r="F1151" s="16" t="str" cm="1">
        <f t="array" ref="F1151">IF(B1151="","",(IF(B1151="Compra de estoque","",(_xlfn.IFS(AND(B1151="Venda de produtos",H1151="Sul/Sudeste"),(VLOOKUP(C1151,Tabela1[#All],9,0)*E1151),AND(B1151="Venda de produtos",H1151="Nordeste"),(VLOOKUP(C1151,Tabela1[#All],11,0)*E1151),AND("Venda de produtos",H1151="Norte/Centro-Oeste"),(VLOOKUP(C1151,Tabela1[#All],13,0)*E1151))))))</f>
        <v/>
      </c>
      <c r="G1151" s="16" t="str">
        <f>IF(B1151="Compra de estoque",VLOOKUP(C1151,Tabela1[#All],4,0)*E1151,"")</f>
        <v/>
      </c>
      <c r="H1151" s="16"/>
    </row>
    <row r="1152" spans="1:8" x14ac:dyDescent="0.25">
      <c r="A1152" s="14" t="str">
        <f t="shared" ca="1" si="17"/>
        <v/>
      </c>
      <c r="D1152" s="15" t="str">
        <f>IF(C1152="","",VLOOKUP(C1152,Tabela1[#All],2,0))</f>
        <v/>
      </c>
      <c r="F1152" s="16" t="str" cm="1">
        <f t="array" ref="F1152">IF(B1152="","",(IF(B1152="Compra de estoque","",(_xlfn.IFS(AND(B1152="Venda de produtos",H1152="Sul/Sudeste"),(VLOOKUP(C1152,Tabela1[#All],9,0)*E1152),AND(B1152="Venda de produtos",H1152="Nordeste"),(VLOOKUP(C1152,Tabela1[#All],11,0)*E1152),AND("Venda de produtos",H1152="Norte/Centro-Oeste"),(VLOOKUP(C1152,Tabela1[#All],13,0)*E1152))))))</f>
        <v/>
      </c>
      <c r="G1152" s="16" t="str">
        <f>IF(B1152="Compra de estoque",VLOOKUP(C1152,Tabela1[#All],4,0)*E1152,"")</f>
        <v/>
      </c>
      <c r="H1152" s="16"/>
    </row>
    <row r="1153" spans="1:8" x14ac:dyDescent="0.25">
      <c r="A1153" s="14" t="str">
        <f t="shared" ca="1" si="17"/>
        <v/>
      </c>
      <c r="D1153" s="15" t="str">
        <f>IF(C1153="","",VLOOKUP(C1153,Tabela1[#All],2,0))</f>
        <v/>
      </c>
      <c r="F1153" s="16" t="str" cm="1">
        <f t="array" ref="F1153">IF(B1153="","",(IF(B1153="Compra de estoque","",(_xlfn.IFS(AND(B1153="Venda de produtos",H1153="Sul/Sudeste"),(VLOOKUP(C1153,Tabela1[#All],9,0)*E1153),AND(B1153="Venda de produtos",H1153="Nordeste"),(VLOOKUP(C1153,Tabela1[#All],11,0)*E1153),AND("Venda de produtos",H1153="Norte/Centro-Oeste"),(VLOOKUP(C1153,Tabela1[#All],13,0)*E1153))))))</f>
        <v/>
      </c>
      <c r="G1153" s="16" t="str">
        <f>IF(B1153="Compra de estoque",VLOOKUP(C1153,Tabela1[#All],4,0)*E1153,"")</f>
        <v/>
      </c>
      <c r="H1153" s="16"/>
    </row>
    <row r="1154" spans="1:8" x14ac:dyDescent="0.25">
      <c r="A1154" s="14" t="str">
        <f t="shared" ca="1" si="17"/>
        <v/>
      </c>
      <c r="D1154" s="15" t="str">
        <f>IF(C1154="","",VLOOKUP(C1154,Tabela1[#All],2,0))</f>
        <v/>
      </c>
      <c r="F1154" s="16" t="str" cm="1">
        <f t="array" ref="F1154">IF(B1154="","",(IF(B1154="Compra de estoque","",(_xlfn.IFS(AND(B1154="Venda de produtos",H1154="Sul/Sudeste"),(VLOOKUP(C1154,Tabela1[#All],9,0)*E1154),AND(B1154="Venda de produtos",H1154="Nordeste"),(VLOOKUP(C1154,Tabela1[#All],11,0)*E1154),AND("Venda de produtos",H1154="Norte/Centro-Oeste"),(VLOOKUP(C1154,Tabela1[#All],13,0)*E1154))))))</f>
        <v/>
      </c>
      <c r="G1154" s="16" t="str">
        <f>IF(B1154="Compra de estoque",VLOOKUP(C1154,Tabela1[#All],4,0)*E1154,"")</f>
        <v/>
      </c>
      <c r="H1154" s="16"/>
    </row>
    <row r="1155" spans="1:8" x14ac:dyDescent="0.25">
      <c r="A1155" s="14" t="str">
        <f t="shared" ref="A1155:A1192" ca="1" si="18">IF(C1155="","",NOW())</f>
        <v/>
      </c>
      <c r="D1155" s="15" t="str">
        <f>IF(C1155="","",VLOOKUP(C1155,Tabela1[#All],2,0))</f>
        <v/>
      </c>
      <c r="F1155" s="16" t="str" cm="1">
        <f t="array" ref="F1155">IF(B1155="","",(IF(B1155="Compra de estoque","",(_xlfn.IFS(AND(B1155="Venda de produtos",H1155="Sul/Sudeste"),(VLOOKUP(C1155,Tabela1[#All],9,0)*E1155),AND(B1155="Venda de produtos",H1155="Nordeste"),(VLOOKUP(C1155,Tabela1[#All],11,0)*E1155),AND("Venda de produtos",H1155="Norte/Centro-Oeste"),(VLOOKUP(C1155,Tabela1[#All],13,0)*E1155))))))</f>
        <v/>
      </c>
      <c r="G1155" s="16" t="str">
        <f>IF(B1155="Compra de estoque",VLOOKUP(C1155,Tabela1[#All],4,0)*E1155,"")</f>
        <v/>
      </c>
      <c r="H1155" s="16"/>
    </row>
    <row r="1156" spans="1:8" x14ac:dyDescent="0.25">
      <c r="A1156" s="14" t="str">
        <f t="shared" ca="1" si="18"/>
        <v/>
      </c>
      <c r="D1156" s="15" t="str">
        <f>IF(C1156="","",VLOOKUP(C1156,Tabela1[#All],2,0))</f>
        <v/>
      </c>
      <c r="F1156" s="16" t="str" cm="1">
        <f t="array" ref="F1156">IF(B1156="","",(IF(B1156="Compra de estoque","",(_xlfn.IFS(AND(B1156="Venda de produtos",H1156="Sul/Sudeste"),(VLOOKUP(C1156,Tabela1[#All],9,0)*E1156),AND(B1156="Venda de produtos",H1156="Nordeste"),(VLOOKUP(C1156,Tabela1[#All],11,0)*E1156),AND("Venda de produtos",H1156="Norte/Centro-Oeste"),(VLOOKUP(C1156,Tabela1[#All],13,0)*E1156))))))</f>
        <v/>
      </c>
      <c r="G1156" s="16" t="str">
        <f>IF(B1156="Compra de estoque",VLOOKUP(C1156,Tabela1[#All],4,0)*E1156,"")</f>
        <v/>
      </c>
      <c r="H1156" s="16"/>
    </row>
    <row r="1157" spans="1:8" x14ac:dyDescent="0.25">
      <c r="A1157" s="14" t="str">
        <f t="shared" ca="1" si="18"/>
        <v/>
      </c>
      <c r="D1157" s="15" t="str">
        <f>IF(C1157="","",VLOOKUP(C1157,Tabela1[#All],2,0))</f>
        <v/>
      </c>
      <c r="F1157" s="16" t="str" cm="1">
        <f t="array" ref="F1157">IF(B1157="","",(IF(B1157="Compra de estoque","",(_xlfn.IFS(AND(B1157="Venda de produtos",H1157="Sul/Sudeste"),(VLOOKUP(C1157,Tabela1[#All],9,0)*E1157),AND(B1157="Venda de produtos",H1157="Nordeste"),(VLOOKUP(C1157,Tabela1[#All],11,0)*E1157),AND("Venda de produtos",H1157="Norte/Centro-Oeste"),(VLOOKUP(C1157,Tabela1[#All],13,0)*E1157))))))</f>
        <v/>
      </c>
      <c r="G1157" s="16" t="str">
        <f>IF(B1157="Compra de estoque",VLOOKUP(C1157,Tabela1[#All],4,0)*E1157,"")</f>
        <v/>
      </c>
      <c r="H1157" s="16"/>
    </row>
    <row r="1158" spans="1:8" x14ac:dyDescent="0.25">
      <c r="A1158" s="14" t="str">
        <f t="shared" ca="1" si="18"/>
        <v/>
      </c>
      <c r="D1158" s="15" t="str">
        <f>IF(C1158="","",VLOOKUP(C1158,Tabela1[#All],2,0))</f>
        <v/>
      </c>
      <c r="F1158" s="16" t="str" cm="1">
        <f t="array" ref="F1158">IF(B1158="","",(IF(B1158="Compra de estoque","",(_xlfn.IFS(AND(B1158="Venda de produtos",H1158="Sul/Sudeste"),(VLOOKUP(C1158,Tabela1[#All],9,0)*E1158),AND(B1158="Venda de produtos",H1158="Nordeste"),(VLOOKUP(C1158,Tabela1[#All],11,0)*E1158),AND("Venda de produtos",H1158="Norte/Centro-Oeste"),(VLOOKUP(C1158,Tabela1[#All],13,0)*E1158))))))</f>
        <v/>
      </c>
      <c r="G1158" s="16" t="str">
        <f>IF(B1158="Compra de estoque",VLOOKUP(C1158,Tabela1[#All],4,0)*E1158,"")</f>
        <v/>
      </c>
      <c r="H1158" s="16"/>
    </row>
    <row r="1159" spans="1:8" x14ac:dyDescent="0.25">
      <c r="A1159" s="14" t="str">
        <f t="shared" ca="1" si="18"/>
        <v/>
      </c>
      <c r="D1159" s="15" t="str">
        <f>IF(C1159="","",VLOOKUP(C1159,Tabela1[#All],2,0))</f>
        <v/>
      </c>
      <c r="F1159" s="16" t="str" cm="1">
        <f t="array" ref="F1159">IF(B1159="","",(IF(B1159="Compra de estoque","",(_xlfn.IFS(AND(B1159="Venda de produtos",H1159="Sul/Sudeste"),(VLOOKUP(C1159,Tabela1[#All],9,0)*E1159),AND(B1159="Venda de produtos",H1159="Nordeste"),(VLOOKUP(C1159,Tabela1[#All],11,0)*E1159),AND("Venda de produtos",H1159="Norte/Centro-Oeste"),(VLOOKUP(C1159,Tabela1[#All],13,0)*E1159))))))</f>
        <v/>
      </c>
      <c r="G1159" s="16" t="str">
        <f>IF(B1159="Compra de estoque",VLOOKUP(C1159,Tabela1[#All],4,0)*E1159,"")</f>
        <v/>
      </c>
      <c r="H1159" s="16"/>
    </row>
    <row r="1160" spans="1:8" x14ac:dyDescent="0.25">
      <c r="A1160" s="14" t="str">
        <f t="shared" ca="1" si="18"/>
        <v/>
      </c>
      <c r="D1160" s="15" t="str">
        <f>IF(C1160="","",VLOOKUP(C1160,Tabela1[#All],2,0))</f>
        <v/>
      </c>
      <c r="F1160" s="16" t="str" cm="1">
        <f t="array" ref="F1160">IF(B1160="","",(IF(B1160="Compra de estoque","",(_xlfn.IFS(AND(B1160="Venda de produtos",H1160="Sul/Sudeste"),(VLOOKUP(C1160,Tabela1[#All],9,0)*E1160),AND(B1160="Venda de produtos",H1160="Nordeste"),(VLOOKUP(C1160,Tabela1[#All],11,0)*E1160),AND("Venda de produtos",H1160="Norte/Centro-Oeste"),(VLOOKUP(C1160,Tabela1[#All],13,0)*E1160))))))</f>
        <v/>
      </c>
      <c r="G1160" s="16" t="str">
        <f>IF(B1160="Compra de estoque",VLOOKUP(C1160,Tabela1[#All],4,0)*E1160,"")</f>
        <v/>
      </c>
      <c r="H1160" s="16"/>
    </row>
    <row r="1161" spans="1:8" x14ac:dyDescent="0.25">
      <c r="A1161" s="14" t="str">
        <f t="shared" ca="1" si="18"/>
        <v/>
      </c>
      <c r="D1161" s="15" t="str">
        <f>IF(C1161="","",VLOOKUP(C1161,Tabela1[#All],2,0))</f>
        <v/>
      </c>
      <c r="F1161" s="16" t="str" cm="1">
        <f t="array" ref="F1161">IF(B1161="","",(IF(B1161="Compra de estoque","",(_xlfn.IFS(AND(B1161="Venda de produtos",H1161="Sul/Sudeste"),(VLOOKUP(C1161,Tabela1[#All],9,0)*E1161),AND(B1161="Venda de produtos",H1161="Nordeste"),(VLOOKUP(C1161,Tabela1[#All],11,0)*E1161),AND("Venda de produtos",H1161="Norte/Centro-Oeste"),(VLOOKUP(C1161,Tabela1[#All],13,0)*E1161))))))</f>
        <v/>
      </c>
      <c r="G1161" s="16" t="str">
        <f>IF(B1161="Compra de estoque",VLOOKUP(C1161,Tabela1[#All],4,0)*E1161,"")</f>
        <v/>
      </c>
      <c r="H1161" s="16"/>
    </row>
    <row r="1162" spans="1:8" x14ac:dyDescent="0.25">
      <c r="A1162" s="14" t="str">
        <f t="shared" ca="1" si="18"/>
        <v/>
      </c>
      <c r="D1162" s="15" t="str">
        <f>IF(C1162="","",VLOOKUP(C1162,Tabela1[#All],2,0))</f>
        <v/>
      </c>
      <c r="F1162" s="16" t="str" cm="1">
        <f t="array" ref="F1162">IF(B1162="","",(IF(B1162="Compra de estoque","",(_xlfn.IFS(AND(B1162="Venda de produtos",H1162="Sul/Sudeste"),(VLOOKUP(C1162,Tabela1[#All],9,0)*E1162),AND(B1162="Venda de produtos",H1162="Nordeste"),(VLOOKUP(C1162,Tabela1[#All],11,0)*E1162),AND("Venda de produtos",H1162="Norte/Centro-Oeste"),(VLOOKUP(C1162,Tabela1[#All],13,0)*E1162))))))</f>
        <v/>
      </c>
      <c r="G1162" s="16" t="str">
        <f>IF(B1162="Compra de estoque",VLOOKUP(C1162,Tabela1[#All],4,0)*E1162,"")</f>
        <v/>
      </c>
      <c r="H1162" s="16"/>
    </row>
    <row r="1163" spans="1:8" x14ac:dyDescent="0.25">
      <c r="A1163" s="14" t="str">
        <f t="shared" ca="1" si="18"/>
        <v/>
      </c>
      <c r="D1163" s="15" t="str">
        <f>IF(C1163="","",VLOOKUP(C1163,Tabela1[#All],2,0))</f>
        <v/>
      </c>
      <c r="F1163" s="16" t="str" cm="1">
        <f t="array" ref="F1163">IF(B1163="","",(IF(B1163="Compra de estoque","",(_xlfn.IFS(AND(B1163="Venda de produtos",H1163="Sul/Sudeste"),(VLOOKUP(C1163,Tabela1[#All],9,0)*E1163),AND(B1163="Venda de produtos",H1163="Nordeste"),(VLOOKUP(C1163,Tabela1[#All],11,0)*E1163),AND("Venda de produtos",H1163="Norte/Centro-Oeste"),(VLOOKUP(C1163,Tabela1[#All],13,0)*E1163))))))</f>
        <v/>
      </c>
      <c r="G1163" s="16" t="str">
        <f>IF(B1163="Compra de estoque",VLOOKUP(C1163,Tabela1[#All],4,0)*E1163,"")</f>
        <v/>
      </c>
      <c r="H1163" s="16"/>
    </row>
    <row r="1164" spans="1:8" x14ac:dyDescent="0.25">
      <c r="A1164" s="14" t="str">
        <f t="shared" ca="1" si="18"/>
        <v/>
      </c>
      <c r="D1164" s="15" t="str">
        <f>IF(C1164="","",VLOOKUP(C1164,Tabela1[#All],2,0))</f>
        <v/>
      </c>
      <c r="F1164" s="16" t="str" cm="1">
        <f t="array" ref="F1164">IF(B1164="","",(IF(B1164="Compra de estoque","",(_xlfn.IFS(AND(B1164="Venda de produtos",H1164="Sul/Sudeste"),(VLOOKUP(C1164,Tabela1[#All],9,0)*E1164),AND(B1164="Venda de produtos",H1164="Nordeste"),(VLOOKUP(C1164,Tabela1[#All],11,0)*E1164),AND("Venda de produtos",H1164="Norte/Centro-Oeste"),(VLOOKUP(C1164,Tabela1[#All],13,0)*E1164))))))</f>
        <v/>
      </c>
      <c r="G1164" s="16" t="str">
        <f>IF(B1164="Compra de estoque",VLOOKUP(C1164,Tabela1[#All],4,0)*E1164,"")</f>
        <v/>
      </c>
      <c r="H1164" s="16"/>
    </row>
    <row r="1165" spans="1:8" x14ac:dyDescent="0.25">
      <c r="A1165" s="14" t="str">
        <f t="shared" ca="1" si="18"/>
        <v/>
      </c>
      <c r="D1165" s="15" t="str">
        <f>IF(C1165="","",VLOOKUP(C1165,Tabela1[#All],2,0))</f>
        <v/>
      </c>
      <c r="F1165" s="16" t="str" cm="1">
        <f t="array" ref="F1165">IF(B1165="","",(IF(B1165="Compra de estoque","",(_xlfn.IFS(AND(B1165="Venda de produtos",H1165="Sul/Sudeste"),(VLOOKUP(C1165,Tabela1[#All],9,0)*E1165),AND(B1165="Venda de produtos",H1165="Nordeste"),(VLOOKUP(C1165,Tabela1[#All],11,0)*E1165),AND("Venda de produtos",H1165="Norte/Centro-Oeste"),(VLOOKUP(C1165,Tabela1[#All],13,0)*E1165))))))</f>
        <v/>
      </c>
      <c r="G1165" s="16" t="str">
        <f>IF(B1165="Compra de estoque",VLOOKUP(C1165,Tabela1[#All],4,0)*E1165,"")</f>
        <v/>
      </c>
      <c r="H1165" s="16"/>
    </row>
    <row r="1166" spans="1:8" x14ac:dyDescent="0.25">
      <c r="A1166" s="14" t="str">
        <f t="shared" ca="1" si="18"/>
        <v/>
      </c>
      <c r="D1166" s="15" t="str">
        <f>IF(C1166="","",VLOOKUP(C1166,Tabela1[#All],2,0))</f>
        <v/>
      </c>
      <c r="F1166" s="16" t="str" cm="1">
        <f t="array" ref="F1166">IF(B1166="","",(IF(B1166="Compra de estoque","",(_xlfn.IFS(AND(B1166="Venda de produtos",H1166="Sul/Sudeste"),(VLOOKUP(C1166,Tabela1[#All],9,0)*E1166),AND(B1166="Venda de produtos",H1166="Nordeste"),(VLOOKUP(C1166,Tabela1[#All],11,0)*E1166),AND("Venda de produtos",H1166="Norte/Centro-Oeste"),(VLOOKUP(C1166,Tabela1[#All],13,0)*E1166))))))</f>
        <v/>
      </c>
      <c r="G1166" s="16" t="str">
        <f>IF(B1166="Compra de estoque",VLOOKUP(C1166,Tabela1[#All],4,0)*E1166,"")</f>
        <v/>
      </c>
      <c r="H1166" s="16"/>
    </row>
    <row r="1167" spans="1:8" x14ac:dyDescent="0.25">
      <c r="A1167" s="14" t="str">
        <f t="shared" ca="1" si="18"/>
        <v/>
      </c>
      <c r="D1167" s="15" t="str">
        <f>IF(C1167="","",VLOOKUP(C1167,Tabela1[#All],2,0))</f>
        <v/>
      </c>
      <c r="F1167" s="16" t="str" cm="1">
        <f t="array" ref="F1167">IF(B1167="","",(IF(B1167="Compra de estoque","",(_xlfn.IFS(AND(B1167="Venda de produtos",H1167="Sul/Sudeste"),(VLOOKUP(C1167,Tabela1[#All],9,0)*E1167),AND(B1167="Venda de produtos",H1167="Nordeste"),(VLOOKUP(C1167,Tabela1[#All],11,0)*E1167),AND("Venda de produtos",H1167="Norte/Centro-Oeste"),(VLOOKUP(C1167,Tabela1[#All],13,0)*E1167))))))</f>
        <v/>
      </c>
      <c r="G1167" s="16" t="str">
        <f>IF(B1167="Compra de estoque",VLOOKUP(C1167,Tabela1[#All],4,0)*E1167,"")</f>
        <v/>
      </c>
      <c r="H1167" s="16"/>
    </row>
    <row r="1168" spans="1:8" x14ac:dyDescent="0.25">
      <c r="A1168" s="14" t="str">
        <f t="shared" ca="1" si="18"/>
        <v/>
      </c>
      <c r="D1168" s="15" t="str">
        <f>IF(C1168="","",VLOOKUP(C1168,Tabela1[#All],2,0))</f>
        <v/>
      </c>
      <c r="F1168" s="16" t="str" cm="1">
        <f t="array" ref="F1168">IF(B1168="","",(IF(B1168="Compra de estoque","",(_xlfn.IFS(AND(B1168="Venda de produtos",H1168="Sul/Sudeste"),(VLOOKUP(C1168,Tabela1[#All],9,0)*E1168),AND(B1168="Venda de produtos",H1168="Nordeste"),(VLOOKUP(C1168,Tabela1[#All],11,0)*E1168),AND("Venda de produtos",H1168="Norte/Centro-Oeste"),(VLOOKUP(C1168,Tabela1[#All],13,0)*E1168))))))</f>
        <v/>
      </c>
      <c r="G1168" s="16" t="str">
        <f>IF(B1168="Compra de estoque",VLOOKUP(C1168,Tabela1[#All],4,0)*E1168,"")</f>
        <v/>
      </c>
      <c r="H1168" s="16"/>
    </row>
    <row r="1169" spans="1:8" x14ac:dyDescent="0.25">
      <c r="A1169" s="14" t="str">
        <f t="shared" ca="1" si="18"/>
        <v/>
      </c>
      <c r="D1169" s="15" t="str">
        <f>IF(C1169="","",VLOOKUP(C1169,Tabela1[#All],2,0))</f>
        <v/>
      </c>
      <c r="F1169" s="16" t="str" cm="1">
        <f t="array" ref="F1169">IF(B1169="","",(IF(B1169="Compra de estoque","",(_xlfn.IFS(AND(B1169="Venda de produtos",H1169="Sul/Sudeste"),(VLOOKUP(C1169,Tabela1[#All],9,0)*E1169),AND(B1169="Venda de produtos",H1169="Nordeste"),(VLOOKUP(C1169,Tabela1[#All],11,0)*E1169),AND("Venda de produtos",H1169="Norte/Centro-Oeste"),(VLOOKUP(C1169,Tabela1[#All],13,0)*E1169))))))</f>
        <v/>
      </c>
      <c r="G1169" s="16" t="str">
        <f>IF(B1169="Compra de estoque",VLOOKUP(C1169,Tabela1[#All],4,0)*E1169,"")</f>
        <v/>
      </c>
      <c r="H1169" s="16"/>
    </row>
    <row r="1170" spans="1:8" x14ac:dyDescent="0.25">
      <c r="A1170" s="14" t="str">
        <f t="shared" ca="1" si="18"/>
        <v/>
      </c>
      <c r="D1170" s="15" t="str">
        <f>IF(C1170="","",VLOOKUP(C1170,Tabela1[#All],2,0))</f>
        <v/>
      </c>
      <c r="F1170" s="16" t="str" cm="1">
        <f t="array" ref="F1170">IF(B1170="","",(IF(B1170="Compra de estoque","",(_xlfn.IFS(AND(B1170="Venda de produtos",H1170="Sul/Sudeste"),(VLOOKUP(C1170,Tabela1[#All],9,0)*E1170),AND(B1170="Venda de produtos",H1170="Nordeste"),(VLOOKUP(C1170,Tabela1[#All],11,0)*E1170),AND("Venda de produtos",H1170="Norte/Centro-Oeste"),(VLOOKUP(C1170,Tabela1[#All],13,0)*E1170))))))</f>
        <v/>
      </c>
      <c r="G1170" s="16" t="str">
        <f>IF(B1170="Compra de estoque",VLOOKUP(C1170,Tabela1[#All],4,0)*E1170,"")</f>
        <v/>
      </c>
      <c r="H1170" s="16"/>
    </row>
    <row r="1171" spans="1:8" x14ac:dyDescent="0.25">
      <c r="A1171" s="14" t="str">
        <f t="shared" ca="1" si="18"/>
        <v/>
      </c>
      <c r="D1171" s="15" t="str">
        <f>IF(C1171="","",VLOOKUP(C1171,Tabela1[#All],2,0))</f>
        <v/>
      </c>
      <c r="F1171" s="16" t="str" cm="1">
        <f t="array" ref="F1171">IF(B1171="","",(IF(B1171="Compra de estoque","",(_xlfn.IFS(AND(B1171="Venda de produtos",H1171="Sul/Sudeste"),(VLOOKUP(C1171,Tabela1[#All],9,0)*E1171),AND(B1171="Venda de produtos",H1171="Nordeste"),(VLOOKUP(C1171,Tabela1[#All],11,0)*E1171),AND("Venda de produtos",H1171="Norte/Centro-Oeste"),(VLOOKUP(C1171,Tabela1[#All],13,0)*E1171))))))</f>
        <v/>
      </c>
      <c r="G1171" s="16" t="str">
        <f>IF(B1171="Compra de estoque",VLOOKUP(C1171,Tabela1[#All],4,0)*E1171,"")</f>
        <v/>
      </c>
      <c r="H1171" s="16"/>
    </row>
    <row r="1172" spans="1:8" x14ac:dyDescent="0.25">
      <c r="A1172" s="14" t="str">
        <f t="shared" ca="1" si="18"/>
        <v/>
      </c>
      <c r="D1172" s="15" t="str">
        <f>IF(C1172="","",VLOOKUP(C1172,Tabela1[#All],2,0))</f>
        <v/>
      </c>
      <c r="F1172" s="16" t="str" cm="1">
        <f t="array" ref="F1172">IF(B1172="","",(IF(B1172="Compra de estoque","",(_xlfn.IFS(AND(B1172="Venda de produtos",H1172="Sul/Sudeste"),(VLOOKUP(C1172,Tabela1[#All],9,0)*E1172),AND(B1172="Venda de produtos",H1172="Nordeste"),(VLOOKUP(C1172,Tabela1[#All],11,0)*E1172),AND("Venda de produtos",H1172="Norte/Centro-Oeste"),(VLOOKUP(C1172,Tabela1[#All],13,0)*E1172))))))</f>
        <v/>
      </c>
      <c r="G1172" s="16" t="str">
        <f>IF(B1172="Compra de estoque",VLOOKUP(C1172,Tabela1[#All],4,0)*E1172,"")</f>
        <v/>
      </c>
      <c r="H1172" s="16"/>
    </row>
    <row r="1173" spans="1:8" x14ac:dyDescent="0.25">
      <c r="A1173" s="14" t="str">
        <f t="shared" ca="1" si="18"/>
        <v/>
      </c>
      <c r="D1173" s="15" t="str">
        <f>IF(C1173="","",VLOOKUP(C1173,Tabela1[#All],2,0))</f>
        <v/>
      </c>
      <c r="F1173" s="16" t="str" cm="1">
        <f t="array" ref="F1173">IF(B1173="","",(IF(B1173="Compra de estoque","",(_xlfn.IFS(AND(B1173="Venda de produtos",H1173="Sul/Sudeste"),(VLOOKUP(C1173,Tabela1[#All],9,0)*E1173),AND(B1173="Venda de produtos",H1173="Nordeste"),(VLOOKUP(C1173,Tabela1[#All],11,0)*E1173),AND("Venda de produtos",H1173="Norte/Centro-Oeste"),(VLOOKUP(C1173,Tabela1[#All],13,0)*E1173))))))</f>
        <v/>
      </c>
      <c r="G1173" s="16" t="str">
        <f>IF(B1173="Compra de estoque",VLOOKUP(C1173,Tabela1[#All],4,0)*E1173,"")</f>
        <v/>
      </c>
      <c r="H1173" s="16"/>
    </row>
    <row r="1174" spans="1:8" x14ac:dyDescent="0.25">
      <c r="A1174" s="14" t="str">
        <f t="shared" ca="1" si="18"/>
        <v/>
      </c>
      <c r="D1174" s="15" t="str">
        <f>IF(C1174="","",VLOOKUP(C1174,Tabela1[#All],2,0))</f>
        <v/>
      </c>
      <c r="F1174" s="16" t="str" cm="1">
        <f t="array" ref="F1174">IF(B1174="","",(IF(B1174="Compra de estoque","",(_xlfn.IFS(AND(B1174="Venda de produtos",H1174="Sul/Sudeste"),(VLOOKUP(C1174,Tabela1[#All],9,0)*E1174),AND(B1174="Venda de produtos",H1174="Nordeste"),(VLOOKUP(C1174,Tabela1[#All],11,0)*E1174),AND("Venda de produtos",H1174="Norte/Centro-Oeste"),(VLOOKUP(C1174,Tabela1[#All],13,0)*E1174))))))</f>
        <v/>
      </c>
      <c r="G1174" s="16" t="str">
        <f>IF(B1174="Compra de estoque",VLOOKUP(C1174,Tabela1[#All],4,0)*E1174,"")</f>
        <v/>
      </c>
      <c r="H1174" s="16"/>
    </row>
    <row r="1175" spans="1:8" x14ac:dyDescent="0.25">
      <c r="A1175" s="14" t="str">
        <f t="shared" ca="1" si="18"/>
        <v/>
      </c>
      <c r="D1175" s="15" t="str">
        <f>IF(C1175="","",VLOOKUP(C1175,Tabela1[#All],2,0))</f>
        <v/>
      </c>
      <c r="F1175" s="16" t="str" cm="1">
        <f t="array" ref="F1175">IF(B1175="","",(IF(B1175="Compra de estoque","",(_xlfn.IFS(AND(B1175="Venda de produtos",H1175="Sul/Sudeste"),(VLOOKUP(C1175,Tabela1[#All],9,0)*E1175),AND(B1175="Venda de produtos",H1175="Nordeste"),(VLOOKUP(C1175,Tabela1[#All],11,0)*E1175),AND("Venda de produtos",H1175="Norte/Centro-Oeste"),(VLOOKUP(C1175,Tabela1[#All],13,0)*E1175))))))</f>
        <v/>
      </c>
      <c r="G1175" s="16" t="str">
        <f>IF(B1175="Compra de estoque",VLOOKUP(C1175,Tabela1[#All],4,0)*E1175,"")</f>
        <v/>
      </c>
      <c r="H1175" s="16"/>
    </row>
    <row r="1176" spans="1:8" x14ac:dyDescent="0.25">
      <c r="A1176" s="14" t="str">
        <f t="shared" ca="1" si="18"/>
        <v/>
      </c>
      <c r="D1176" s="15" t="str">
        <f>IF(C1176="","",VLOOKUP(C1176,Tabela1[#All],2,0))</f>
        <v/>
      </c>
      <c r="F1176" s="16" t="str" cm="1">
        <f t="array" ref="F1176">IF(B1176="","",(IF(B1176="Compra de estoque","",(_xlfn.IFS(AND(B1176="Venda de produtos",H1176="Sul/Sudeste"),(VLOOKUP(C1176,Tabela1[#All],9,0)*E1176),AND(B1176="Venda de produtos",H1176="Nordeste"),(VLOOKUP(C1176,Tabela1[#All],11,0)*E1176),AND("Venda de produtos",H1176="Norte/Centro-Oeste"),(VLOOKUP(C1176,Tabela1[#All],13,0)*E1176))))))</f>
        <v/>
      </c>
      <c r="G1176" s="16" t="str">
        <f>IF(B1176="Compra de estoque",VLOOKUP(C1176,Tabela1[#All],4,0)*E1176,"")</f>
        <v/>
      </c>
      <c r="H1176" s="16"/>
    </row>
    <row r="1177" spans="1:8" x14ac:dyDescent="0.25">
      <c r="A1177" s="14" t="str">
        <f t="shared" ca="1" si="18"/>
        <v/>
      </c>
      <c r="D1177" s="15" t="str">
        <f>IF(C1177="","",VLOOKUP(C1177,Tabela1[#All],2,0))</f>
        <v/>
      </c>
      <c r="F1177" s="16" t="str" cm="1">
        <f t="array" ref="F1177">IF(B1177="","",(IF(B1177="Compra de estoque","",(_xlfn.IFS(AND(B1177="Venda de produtos",H1177="Sul/Sudeste"),(VLOOKUP(C1177,Tabela1[#All],9,0)*E1177),AND(B1177="Venda de produtos",H1177="Nordeste"),(VLOOKUP(C1177,Tabela1[#All],11,0)*E1177),AND("Venda de produtos",H1177="Norte/Centro-Oeste"),(VLOOKUP(C1177,Tabela1[#All],13,0)*E1177))))))</f>
        <v/>
      </c>
      <c r="G1177" s="16" t="str">
        <f>IF(B1177="Compra de estoque",VLOOKUP(C1177,Tabela1[#All],4,0)*E1177,"")</f>
        <v/>
      </c>
      <c r="H1177" s="16"/>
    </row>
    <row r="1178" spans="1:8" x14ac:dyDescent="0.25">
      <c r="A1178" s="14" t="str">
        <f t="shared" ca="1" si="18"/>
        <v/>
      </c>
      <c r="D1178" s="15" t="str">
        <f>IF(C1178="","",VLOOKUP(C1178,Tabela1[#All],2,0))</f>
        <v/>
      </c>
      <c r="F1178" s="16" t="str" cm="1">
        <f t="array" ref="F1178">IF(B1178="","",(IF(B1178="Compra de estoque","",(_xlfn.IFS(AND(B1178="Venda de produtos",H1178="Sul/Sudeste"),(VLOOKUP(C1178,Tabela1[#All],9,0)*E1178),AND(B1178="Venda de produtos",H1178="Nordeste"),(VLOOKUP(C1178,Tabela1[#All],11,0)*E1178),AND("Venda de produtos",H1178="Norte/Centro-Oeste"),(VLOOKUP(C1178,Tabela1[#All],13,0)*E1178))))))</f>
        <v/>
      </c>
      <c r="G1178" s="16" t="str">
        <f>IF(B1178="Compra de estoque",VLOOKUP(C1178,Tabela1[#All],4,0)*E1178,"")</f>
        <v/>
      </c>
      <c r="H1178" s="16"/>
    </row>
    <row r="1179" spans="1:8" x14ac:dyDescent="0.25">
      <c r="A1179" s="14" t="str">
        <f t="shared" ca="1" si="18"/>
        <v/>
      </c>
      <c r="D1179" s="15" t="str">
        <f>IF(C1179="","",VLOOKUP(C1179,Tabela1[#All],2,0))</f>
        <v/>
      </c>
      <c r="F1179" s="16" t="str" cm="1">
        <f t="array" ref="F1179">IF(B1179="","",(IF(B1179="Compra de estoque","",(_xlfn.IFS(AND(B1179="Venda de produtos",H1179="Sul/Sudeste"),(VLOOKUP(C1179,Tabela1[#All],9,0)*E1179),AND(B1179="Venda de produtos",H1179="Nordeste"),(VLOOKUP(C1179,Tabela1[#All],11,0)*E1179),AND("Venda de produtos",H1179="Norte/Centro-Oeste"),(VLOOKUP(C1179,Tabela1[#All],13,0)*E1179))))))</f>
        <v/>
      </c>
      <c r="G1179" s="16" t="str">
        <f>IF(B1179="Compra de estoque",VLOOKUP(C1179,Tabela1[#All],4,0)*E1179,"")</f>
        <v/>
      </c>
      <c r="H1179" s="16"/>
    </row>
    <row r="1180" spans="1:8" x14ac:dyDescent="0.25">
      <c r="A1180" s="14" t="str">
        <f t="shared" ca="1" si="18"/>
        <v/>
      </c>
      <c r="D1180" s="15" t="str">
        <f>IF(C1180="","",VLOOKUP(C1180,Tabela1[#All],2,0))</f>
        <v/>
      </c>
      <c r="F1180" s="16" t="str" cm="1">
        <f t="array" ref="F1180">IF(B1180="","",(IF(B1180="Compra de estoque","",(_xlfn.IFS(AND(B1180="Venda de produtos",H1180="Sul/Sudeste"),(VLOOKUP(C1180,Tabela1[#All],9,0)*E1180),AND(B1180="Venda de produtos",H1180="Nordeste"),(VLOOKUP(C1180,Tabela1[#All],11,0)*E1180),AND("Venda de produtos",H1180="Norte/Centro-Oeste"),(VLOOKUP(C1180,Tabela1[#All],13,0)*E1180))))))</f>
        <v/>
      </c>
      <c r="G1180" s="16" t="str">
        <f>IF(B1180="Compra de estoque",VLOOKUP(C1180,Tabela1[#All],4,0)*E1180,"")</f>
        <v/>
      </c>
      <c r="H1180" s="16"/>
    </row>
    <row r="1181" spans="1:8" x14ac:dyDescent="0.25">
      <c r="A1181" s="14" t="str">
        <f t="shared" ca="1" si="18"/>
        <v/>
      </c>
      <c r="D1181" s="15" t="str">
        <f>IF(C1181="","",VLOOKUP(C1181,Tabela1[#All],2,0))</f>
        <v/>
      </c>
      <c r="F1181" s="16" t="str" cm="1">
        <f t="array" ref="F1181">IF(B1181="","",(IF(B1181="Compra de estoque","",(_xlfn.IFS(AND(B1181="Venda de produtos",H1181="Sul/Sudeste"),(VLOOKUP(C1181,Tabela1[#All],9,0)*E1181),AND(B1181="Venda de produtos",H1181="Nordeste"),(VLOOKUP(C1181,Tabela1[#All],11,0)*E1181),AND("Venda de produtos",H1181="Norte/Centro-Oeste"),(VLOOKUP(C1181,Tabela1[#All],13,0)*E1181))))))</f>
        <v/>
      </c>
      <c r="G1181" s="16" t="str">
        <f>IF(B1181="Compra de estoque",VLOOKUP(C1181,Tabela1[#All],4,0)*E1181,"")</f>
        <v/>
      </c>
      <c r="H1181" s="16"/>
    </row>
    <row r="1182" spans="1:8" x14ac:dyDescent="0.25">
      <c r="A1182" s="14" t="str">
        <f t="shared" ca="1" si="18"/>
        <v/>
      </c>
      <c r="D1182" s="15" t="str">
        <f>IF(C1182="","",VLOOKUP(C1182,Tabela1[#All],2,0))</f>
        <v/>
      </c>
      <c r="F1182" s="16" t="str" cm="1">
        <f t="array" ref="F1182">IF(B1182="","",(IF(B1182="Compra de estoque","",(_xlfn.IFS(AND(B1182="Venda de produtos",H1182="Sul/Sudeste"),(VLOOKUP(C1182,Tabela1[#All],9,0)*E1182),AND(B1182="Venda de produtos",H1182="Nordeste"),(VLOOKUP(C1182,Tabela1[#All],11,0)*E1182),AND("Venda de produtos",H1182="Norte/Centro-Oeste"),(VLOOKUP(C1182,Tabela1[#All],13,0)*E1182))))))</f>
        <v/>
      </c>
      <c r="G1182" s="16" t="str">
        <f>IF(B1182="Compra de estoque",VLOOKUP(C1182,Tabela1[#All],4,0)*E1182,"")</f>
        <v/>
      </c>
      <c r="H1182" s="16"/>
    </row>
    <row r="1183" spans="1:8" x14ac:dyDescent="0.25">
      <c r="A1183" s="14" t="str">
        <f t="shared" ca="1" si="18"/>
        <v/>
      </c>
      <c r="D1183" s="15" t="str">
        <f>IF(C1183="","",VLOOKUP(C1183,Tabela1[#All],2,0))</f>
        <v/>
      </c>
      <c r="F1183" s="16" t="str" cm="1">
        <f t="array" ref="F1183">IF(B1183="","",(IF(B1183="Compra de estoque","",(_xlfn.IFS(AND(B1183="Venda de produtos",H1183="Sul/Sudeste"),(VLOOKUP(C1183,Tabela1[#All],9,0)*E1183),AND(B1183="Venda de produtos",H1183="Nordeste"),(VLOOKUP(C1183,Tabela1[#All],11,0)*E1183),AND("Venda de produtos",H1183="Norte/Centro-Oeste"),(VLOOKUP(C1183,Tabela1[#All],13,0)*E1183))))))</f>
        <v/>
      </c>
      <c r="G1183" s="16" t="str">
        <f>IF(B1183="Compra de estoque",VLOOKUP(C1183,Tabela1[#All],4,0)*E1183,"")</f>
        <v/>
      </c>
      <c r="H1183" s="16"/>
    </row>
    <row r="1184" spans="1:8" x14ac:dyDescent="0.25">
      <c r="A1184" s="14" t="str">
        <f t="shared" ca="1" si="18"/>
        <v/>
      </c>
      <c r="D1184" s="15" t="str">
        <f>IF(C1184="","",VLOOKUP(C1184,Tabela1[#All],2,0))</f>
        <v/>
      </c>
      <c r="F1184" s="16" t="str" cm="1">
        <f t="array" ref="F1184">IF(B1184="","",(IF(B1184="Compra de estoque","",(_xlfn.IFS(AND(B1184="Venda de produtos",H1184="Sul/Sudeste"),(VLOOKUP(C1184,Tabela1[#All],9,0)*E1184),AND(B1184="Venda de produtos",H1184="Nordeste"),(VLOOKUP(C1184,Tabela1[#All],11,0)*E1184),AND("Venda de produtos",H1184="Norte/Centro-Oeste"),(VLOOKUP(C1184,Tabela1[#All],13,0)*E1184))))))</f>
        <v/>
      </c>
      <c r="G1184" s="16" t="str">
        <f>IF(B1184="Compra de estoque",VLOOKUP(C1184,Tabela1[#All],4,0)*E1184,"")</f>
        <v/>
      </c>
      <c r="H1184" s="16"/>
    </row>
    <row r="1185" spans="1:8" x14ac:dyDescent="0.25">
      <c r="A1185" s="14" t="str">
        <f t="shared" ca="1" si="18"/>
        <v/>
      </c>
      <c r="D1185" s="15" t="str">
        <f>IF(C1185="","",VLOOKUP(C1185,Tabela1[#All],2,0))</f>
        <v/>
      </c>
      <c r="F1185" s="16" t="str" cm="1">
        <f t="array" ref="F1185">IF(B1185="","",(IF(B1185="Compra de estoque","",(_xlfn.IFS(AND(B1185="Venda de produtos",H1185="Sul/Sudeste"),(VLOOKUP(C1185,Tabela1[#All],9,0)*E1185),AND(B1185="Venda de produtos",H1185="Nordeste"),(VLOOKUP(C1185,Tabela1[#All],11,0)*E1185),AND("Venda de produtos",H1185="Norte/Centro-Oeste"),(VLOOKUP(C1185,Tabela1[#All],13,0)*E1185))))))</f>
        <v/>
      </c>
      <c r="G1185" s="16" t="str">
        <f>IF(B1185="Compra de estoque",VLOOKUP(C1185,Tabela1[#All],4,0)*E1185,"")</f>
        <v/>
      </c>
      <c r="H1185" s="16"/>
    </row>
    <row r="1186" spans="1:8" x14ac:dyDescent="0.25">
      <c r="A1186" s="14" t="str">
        <f t="shared" ca="1" si="18"/>
        <v/>
      </c>
      <c r="D1186" s="15" t="str">
        <f>IF(C1186="","",VLOOKUP(C1186,Tabela1[#All],2,0))</f>
        <v/>
      </c>
      <c r="F1186" s="16" t="str" cm="1">
        <f t="array" ref="F1186">IF(B1186="","",(IF(B1186="Compra de estoque","",(_xlfn.IFS(AND(B1186="Venda de produtos",H1186="Sul/Sudeste"),(VLOOKUP(C1186,Tabela1[#All],9,0)*E1186),AND(B1186="Venda de produtos",H1186="Nordeste"),(VLOOKUP(C1186,Tabela1[#All],11,0)*E1186),AND("Venda de produtos",H1186="Norte/Centro-Oeste"),(VLOOKUP(C1186,Tabela1[#All],13,0)*E1186))))))</f>
        <v/>
      </c>
      <c r="G1186" s="16" t="str">
        <f>IF(B1186="Compra de estoque",VLOOKUP(C1186,Tabela1[#All],4,0)*E1186,"")</f>
        <v/>
      </c>
      <c r="H1186" s="16"/>
    </row>
    <row r="1187" spans="1:8" x14ac:dyDescent="0.25">
      <c r="A1187" s="14" t="str">
        <f t="shared" ca="1" si="18"/>
        <v/>
      </c>
      <c r="D1187" s="15" t="str">
        <f>IF(C1187="","",VLOOKUP(C1187,Tabela1[#All],2,0))</f>
        <v/>
      </c>
      <c r="F1187" s="16" t="str" cm="1">
        <f t="array" ref="F1187">IF(B1187="","",(IF(B1187="Compra de estoque","",(_xlfn.IFS(AND(B1187="Venda de produtos",H1187="Sul/Sudeste"),(VLOOKUP(C1187,Tabela1[#All],9,0)*E1187),AND(B1187="Venda de produtos",H1187="Nordeste"),(VLOOKUP(C1187,Tabela1[#All],11,0)*E1187),AND("Venda de produtos",H1187="Norte/Centro-Oeste"),(VLOOKUP(C1187,Tabela1[#All],13,0)*E1187))))))</f>
        <v/>
      </c>
      <c r="G1187" s="16" t="str">
        <f>IF(B1187="Compra de estoque",VLOOKUP(C1187,Tabela1[#All],4,0)*E1187,"")</f>
        <v/>
      </c>
      <c r="H1187" s="16"/>
    </row>
    <row r="1188" spans="1:8" x14ac:dyDescent="0.25">
      <c r="A1188" s="14" t="str">
        <f t="shared" ca="1" si="18"/>
        <v/>
      </c>
      <c r="D1188" s="15" t="str">
        <f>IF(C1188="","",VLOOKUP(C1188,Tabela1[#All],2,0))</f>
        <v/>
      </c>
      <c r="F1188" s="16" t="str" cm="1">
        <f t="array" ref="F1188">IF(B1188="","",(IF(B1188="Compra de estoque","",(_xlfn.IFS(AND(B1188="Venda de produtos",H1188="Sul/Sudeste"),(VLOOKUP(C1188,Tabela1[#All],9,0)*E1188),AND(B1188="Venda de produtos",H1188="Nordeste"),(VLOOKUP(C1188,Tabela1[#All],11,0)*E1188),AND("Venda de produtos",H1188="Norte/Centro-Oeste"),(VLOOKUP(C1188,Tabela1[#All],13,0)*E1188))))))</f>
        <v/>
      </c>
      <c r="G1188" s="16" t="str">
        <f>IF(B1188="Compra de estoque",VLOOKUP(C1188,Tabela1[#All],4,0)*E1188,"")</f>
        <v/>
      </c>
      <c r="H1188" s="16"/>
    </row>
    <row r="1189" spans="1:8" x14ac:dyDescent="0.25">
      <c r="A1189" s="14" t="str">
        <f t="shared" ca="1" si="18"/>
        <v/>
      </c>
      <c r="D1189" s="15" t="str">
        <f>IF(C1189="","",VLOOKUP(C1189,Tabela1[#All],2,0))</f>
        <v/>
      </c>
      <c r="F1189" s="16" t="str" cm="1">
        <f t="array" ref="F1189">IF(B1189="","",(IF(B1189="Compra de estoque","",(_xlfn.IFS(AND(B1189="Venda de produtos",H1189="Sul/Sudeste"),(VLOOKUP(C1189,Tabela1[#All],9,0)*E1189),AND(B1189="Venda de produtos",H1189="Nordeste"),(VLOOKUP(C1189,Tabela1[#All],11,0)*E1189),AND("Venda de produtos",H1189="Norte/Centro-Oeste"),(VLOOKUP(C1189,Tabela1[#All],13,0)*E1189))))))</f>
        <v/>
      </c>
      <c r="G1189" s="16" t="str">
        <f>IF(B1189="Compra de estoque",VLOOKUP(C1189,Tabela1[#All],4,0)*E1189,"")</f>
        <v/>
      </c>
      <c r="H1189" s="16"/>
    </row>
    <row r="1190" spans="1:8" x14ac:dyDescent="0.25">
      <c r="A1190" s="14" t="str">
        <f t="shared" ca="1" si="18"/>
        <v/>
      </c>
      <c r="D1190" s="15" t="str">
        <f>IF(C1190="","",VLOOKUP(C1190,Tabela1[#All],2,0))</f>
        <v/>
      </c>
      <c r="F1190" s="16" t="str" cm="1">
        <f t="array" ref="F1190">IF(B1190="","",(IF(B1190="Compra de estoque","",(_xlfn.IFS(AND(B1190="Venda de produtos",H1190="Sul/Sudeste"),(VLOOKUP(C1190,Tabela1[#All],9,0)*E1190),AND(B1190="Venda de produtos",H1190="Nordeste"),(VLOOKUP(C1190,Tabela1[#All],11,0)*E1190),AND("Venda de produtos",H1190="Norte/Centro-Oeste"),(VLOOKUP(C1190,Tabela1[#All],13,0)*E1190))))))</f>
        <v/>
      </c>
      <c r="G1190" s="16" t="str">
        <f>IF(B1190="Compra de estoque",VLOOKUP(C1190,Tabela1[#All],4,0)*E1190,"")</f>
        <v/>
      </c>
      <c r="H1190" s="16"/>
    </row>
    <row r="1191" spans="1:8" x14ac:dyDescent="0.25">
      <c r="A1191" s="14" t="str">
        <f t="shared" ca="1" si="18"/>
        <v/>
      </c>
      <c r="D1191" s="15" t="str">
        <f>IF(C1191="","",VLOOKUP(C1191,Tabela1[#All],2,0))</f>
        <v/>
      </c>
      <c r="F1191" s="16" t="str" cm="1">
        <f t="array" ref="F1191">IF(B1191="","",(IF(B1191="Compra de estoque","",(_xlfn.IFS(AND(B1191="Venda de produtos",H1191="Sul/Sudeste"),(VLOOKUP(C1191,Tabela1[#All],9,0)*E1191),AND(B1191="Venda de produtos",H1191="Nordeste"),(VLOOKUP(C1191,Tabela1[#All],11,0)*E1191),AND("Venda de produtos",H1191="Norte/Centro-Oeste"),(VLOOKUP(C1191,Tabela1[#All],13,0)*E1191))))))</f>
        <v/>
      </c>
      <c r="G1191" s="16" t="str">
        <f>IF(B1191="Compra de estoque",VLOOKUP(C1191,Tabela1[#All],4,0)*E1191,"")</f>
        <v/>
      </c>
      <c r="H1191" s="16"/>
    </row>
    <row r="1192" spans="1:8" x14ac:dyDescent="0.25">
      <c r="A1192" s="14" t="str">
        <f t="shared" ca="1" si="18"/>
        <v/>
      </c>
      <c r="D1192" s="15" t="str">
        <f>IF(C1192="","",VLOOKUP(C1192,Tabela1[#All],2,0))</f>
        <v/>
      </c>
      <c r="F1192" s="16" t="str" cm="1">
        <f t="array" ref="F1192">IF(B1192="","",(IF(B1192="Compra de estoque","",(_xlfn.IFS(AND(B1192="Venda de produtos",H1192="Sul/Sudeste"),(VLOOKUP(C1192,Tabela1[#All],9,0)*E1192),AND(B1192="Venda de produtos",H1192="Nordeste"),(VLOOKUP(C1192,Tabela1[#All],11,0)*E1192),AND("Venda de produtos",H1192="Norte/Centro-Oeste"),(VLOOKUP(C1192,Tabela1[#All],13,0)*E1192))))))</f>
        <v/>
      </c>
      <c r="G1192" s="16" t="str">
        <f>IF(B1192="Compra de estoque",VLOOKUP(C1192,Tabela1[#All],4,0)*E1192,"")</f>
        <v/>
      </c>
      <c r="H1192" s="16"/>
    </row>
    <row r="1193" spans="1:8" x14ac:dyDescent="0.25">
      <c r="D1193" s="15" t="str">
        <f>IF(C1193="","",VLOOKUP(C1193,Tabela1[#All],2,0))</f>
        <v/>
      </c>
      <c r="F1193" s="16" t="str" cm="1">
        <f t="array" ref="F1193">IF(B1193="","",(IF(B1193="Compra de estoque","",(_xlfn.IFS(AND(B1193="Venda de produtos",H1193="Sul/Sudeste"),(VLOOKUP(C1193,Tabela1[#All],9,0)*E1193),AND(B1193="Venda de produtos",H1193="Nordeste"),(VLOOKUP(C1193,Tabela1[#All],11,0)*E1193),AND("Venda de produtos",H1193="Norte/Centro-Oeste"),(VLOOKUP(C1193,Tabela1[#All],13,0)*E1193))))))</f>
        <v/>
      </c>
      <c r="G1193" s="16" t="str">
        <f>IF(B1193="Compra de estoque",VLOOKUP(C1193,Tabela1[#All],4,0)*E1193,"")</f>
        <v/>
      </c>
      <c r="H1193" s="16"/>
    </row>
    <row r="1194" spans="1:8" x14ac:dyDescent="0.25">
      <c r="D1194" s="15" t="str">
        <f>IF(C1194="","",VLOOKUP(C1194,Tabela1[#All],2,0))</f>
        <v/>
      </c>
      <c r="F1194" s="16" t="str" cm="1">
        <f t="array" ref="F1194">IF(B1194="","",(IF(B1194="Compra de estoque","",(_xlfn.IFS(AND(B1194="Venda de produtos",H1194="Sul/Sudeste"),(VLOOKUP(C1194,Tabela1[#All],9,0)*E1194),AND(B1194="Venda de produtos",H1194="Nordeste"),(VLOOKUP(C1194,Tabela1[#All],11,0)*E1194),AND("Venda de produtos",H1194="Norte/Centro-Oeste"),(VLOOKUP(C1194,Tabela1[#All],13,0)*E1194))))))</f>
        <v/>
      </c>
      <c r="G1194" s="16" t="str">
        <f>IF(B1194="Compra de estoque",VLOOKUP(C1194,Tabela1[#All],4,0)*E1194,"")</f>
        <v/>
      </c>
      <c r="H1194" s="16"/>
    </row>
    <row r="1195" spans="1:8" x14ac:dyDescent="0.25">
      <c r="D1195" s="15" t="str">
        <f>IF(C1195="","",VLOOKUP(C1195,Tabela1[#All],2,0))</f>
        <v/>
      </c>
      <c r="F1195" s="16" t="str" cm="1">
        <f t="array" ref="F1195">IF(B1195="","",(IF(B1195="Compra de estoque","",(_xlfn.IFS(AND(B1195="Venda de produtos",H1195="Sul/Sudeste"),(VLOOKUP(C1195,Tabela1[#All],9,0)*E1195),AND(B1195="Venda de produtos",H1195="Nordeste"),(VLOOKUP(C1195,Tabela1[#All],11,0)*E1195),AND("Venda de produtos",H1195="Norte/Centro-Oeste"),(VLOOKUP(C1195,Tabela1[#All],13,0)*E1195))))))</f>
        <v/>
      </c>
      <c r="G1195" s="16" t="str">
        <f>IF(B1195="Compra de estoque",VLOOKUP(C1195,Tabela1[#All],4,0)*E1195,"")</f>
        <v/>
      </c>
      <c r="H1195" s="16"/>
    </row>
    <row r="1196" spans="1:8" x14ac:dyDescent="0.25">
      <c r="D1196" s="15" t="str">
        <f>IF(C1196="","",VLOOKUP(C1196,Tabela1[#All],2,0))</f>
        <v/>
      </c>
      <c r="F1196" s="16" t="str" cm="1">
        <f t="array" ref="F1196">IF(B1196="","",(IF(B1196="Compra de estoque","",(_xlfn.IFS(AND(B1196="Venda de produtos",H1196="Sul/Sudeste"),(VLOOKUP(C1196,Tabela1[#All],9,0)*E1196),AND(B1196="Venda de produtos",H1196="Nordeste"),(VLOOKUP(C1196,Tabela1[#All],11,0)*E1196),AND("Venda de produtos",H1196="Norte/Centro-Oeste"),(VLOOKUP(C1196,Tabela1[#All],13,0)*E1196))))))</f>
        <v/>
      </c>
      <c r="G1196" s="16" t="str">
        <f>IF(B1196="Compra de estoque",VLOOKUP(C1196,Tabela1[#All],4,0)*E1196,"")</f>
        <v/>
      </c>
      <c r="H1196" s="16"/>
    </row>
    <row r="1197" spans="1:8" x14ac:dyDescent="0.25">
      <c r="D1197" s="15" t="str">
        <f>IF(C1197="","",VLOOKUP(C1197,Tabela1[#All],2,0))</f>
        <v/>
      </c>
      <c r="F1197" s="16" t="str" cm="1">
        <f t="array" ref="F1197">IF(B1197="","",(IF(B1197="Compra de estoque","",(_xlfn.IFS(AND(B1197="Venda de produtos",H1197="Sul/Sudeste"),(VLOOKUP(C1197,Tabela1[#All],9,0)*E1197),AND(B1197="Venda de produtos",H1197="Nordeste"),(VLOOKUP(C1197,Tabela1[#All],11,0)*E1197),AND("Venda de produtos",H1197="Norte/Centro-Oeste"),(VLOOKUP(C1197,Tabela1[#All],13,0)*E1197))))))</f>
        <v/>
      </c>
      <c r="G1197" s="16" t="str">
        <f>IF(B1197="Compra de estoque",VLOOKUP(C1197,Tabela1[#All],4,0)*E1197,"")</f>
        <v/>
      </c>
      <c r="H1197" s="16"/>
    </row>
    <row r="1198" spans="1:8" x14ac:dyDescent="0.25">
      <c r="D1198" s="15" t="str">
        <f>IF(C1198="","",VLOOKUP(C1198,Tabela1[#All],2,0))</f>
        <v/>
      </c>
      <c r="F1198" s="16" t="str" cm="1">
        <f t="array" ref="F1198">IF(B1198="","",(IF(B1198="Compra de estoque","",(_xlfn.IFS(AND(B1198="Venda de produtos",H1198="Sul/Sudeste"),(VLOOKUP(C1198,Tabela1[#All],9,0)*E1198),AND(B1198="Venda de produtos",H1198="Nordeste"),(VLOOKUP(C1198,Tabela1[#All],11,0)*E1198),AND("Venda de produtos",H1198="Norte/Centro-Oeste"),(VLOOKUP(C1198,Tabela1[#All],13,0)*E1198))))))</f>
        <v/>
      </c>
      <c r="G1198" s="16" t="str">
        <f>IF(B1198="Compra de estoque",VLOOKUP(C1198,Tabela1[#All],4,0)*E1198,"")</f>
        <v/>
      </c>
      <c r="H1198" s="16"/>
    </row>
    <row r="1199" spans="1:8" x14ac:dyDescent="0.25">
      <c r="D1199" s="15" t="str">
        <f>IF(C1199="","",VLOOKUP(C1199,Tabela1[#All],2,0))</f>
        <v/>
      </c>
      <c r="F1199" s="16" t="str" cm="1">
        <f t="array" ref="F1199">IF(B1199="","",(IF(B1199="Compra de estoque","",(_xlfn.IFS(AND(B1199="Venda de produtos",H1199="Sul/Sudeste"),(VLOOKUP(C1199,Tabela1[#All],9,0)*E1199),AND(B1199="Venda de produtos",H1199="Nordeste"),(VLOOKUP(C1199,Tabela1[#All],11,0)*E1199),AND("Venda de produtos",H1199="Norte/Centro-Oeste"),(VLOOKUP(C1199,Tabela1[#All],13,0)*E1199))))))</f>
        <v/>
      </c>
      <c r="G1199" s="16" t="str">
        <f>IF(B1199="Compra de estoque",VLOOKUP(C1199,Tabela1[#All],4,0)*E1199,"")</f>
        <v/>
      </c>
      <c r="H1199" s="16"/>
    </row>
    <row r="1200" spans="1:8" x14ac:dyDescent="0.25">
      <c r="D1200" s="15" t="str">
        <f>IF(C1200="","",VLOOKUP(C1200,Tabela1[#All],2,0))</f>
        <v/>
      </c>
      <c r="F1200" s="16" t="str" cm="1">
        <f t="array" ref="F1200">IF(B1200="","",(IF(B1200="Compra de estoque","",(_xlfn.IFS(AND(B1200="Venda de produtos",H1200="Sul/Sudeste"),(VLOOKUP(C1200,Tabela1[#All],9,0)*E1200),AND(B1200="Venda de produtos",H1200="Nordeste"),(VLOOKUP(C1200,Tabela1[#All],11,0)*E1200),AND("Venda de produtos",H1200="Norte/Centro-Oeste"),(VLOOKUP(C1200,Tabela1[#All],13,0)*E1200))))))</f>
        <v/>
      </c>
      <c r="G1200" s="16" t="str">
        <f>IF(B1200="Compra de estoque",VLOOKUP(C1200,Tabela1[#All],4,0)*E1200,"")</f>
        <v/>
      </c>
      <c r="H1200" s="16"/>
    </row>
    <row r="1201" spans="4:8" x14ac:dyDescent="0.25">
      <c r="D1201" s="15" t="str">
        <f>IF(C1201="","",VLOOKUP(C1201,Tabela1[#All],2,0))</f>
        <v/>
      </c>
      <c r="F1201" s="16" t="str" cm="1">
        <f t="array" ref="F1201">IF(B1201="","",(IF(B1201="Compra de estoque","",(_xlfn.IFS(AND(B1201="Venda de produtos",H1201="Sul/Sudeste"),(VLOOKUP(C1201,Tabela1[#All],9,0)*E1201),AND(B1201="Venda de produtos",H1201="Nordeste"),(VLOOKUP(C1201,Tabela1[#All],11,0)*E1201),AND("Venda de produtos",H1201="Norte/Centro-Oeste"),(VLOOKUP(C1201,Tabela1[#All],13,0)*E1201))))))</f>
        <v/>
      </c>
      <c r="G1201" s="16" t="str">
        <f>IF(B1201="Compra de estoque",VLOOKUP(C1201,Tabela1[#All],4,0)*E1201,"")</f>
        <v/>
      </c>
      <c r="H1201" s="16"/>
    </row>
    <row r="1202" spans="4:8" x14ac:dyDescent="0.25">
      <c r="D1202" s="15" t="str">
        <f>IF(C1202="","",VLOOKUP(C1202,Tabela1[#All],2,0))</f>
        <v/>
      </c>
      <c r="F1202" s="16" t="str" cm="1">
        <f t="array" ref="F1202">IF(B1202="","",(IF(B1202="Compra de estoque","",(_xlfn.IFS(AND(B1202="Venda de produtos",H1202="Sul/Sudeste"),(VLOOKUP(C1202,Tabela1[#All],9,0)*E1202),AND(B1202="Venda de produtos",H1202="Nordeste"),(VLOOKUP(C1202,Tabela1[#All],11,0)*E1202),AND("Venda de produtos",H1202="Norte/Centro-Oeste"),(VLOOKUP(C1202,Tabela1[#All],13,0)*E1202))))))</f>
        <v/>
      </c>
      <c r="G1202" s="16" t="str">
        <f>IF(B1202="Compra de estoque",VLOOKUP(C1202,Tabela1[#All],4,0)*E1202,"")</f>
        <v/>
      </c>
      <c r="H1202" s="16"/>
    </row>
    <row r="1203" spans="4:8" x14ac:dyDescent="0.25">
      <c r="D1203" s="15" t="str">
        <f>IF(C1203="","",VLOOKUP(C1203,Tabela1[#All],2,0))</f>
        <v/>
      </c>
      <c r="F1203" s="16" t="str" cm="1">
        <f t="array" ref="F1203">IF(B1203="","",(IF(B1203="Compra de estoque","",(_xlfn.IFS(AND(B1203="Venda de produtos",H1203="Sul/Sudeste"),(VLOOKUP(C1203,Tabela1[#All],9,0)*E1203),AND(B1203="Venda de produtos",H1203="Nordeste"),(VLOOKUP(C1203,Tabela1[#All],11,0)*E1203),AND("Venda de produtos",H1203="Norte/Centro-Oeste"),(VLOOKUP(C1203,Tabela1[#All],13,0)*E1203))))))</f>
        <v/>
      </c>
      <c r="G1203" s="16" t="str">
        <f>IF(B1203="Compra de estoque",VLOOKUP(C1203,Tabela1[#All],4,0)*E1203,"")</f>
        <v/>
      </c>
      <c r="H1203" s="16"/>
    </row>
    <row r="1204" spans="4:8" x14ac:dyDescent="0.25">
      <c r="D1204" s="15" t="str">
        <f>IF(C1204="","",VLOOKUP(C1204,Tabela1[#All],2,0))</f>
        <v/>
      </c>
      <c r="F1204" s="16" t="str" cm="1">
        <f t="array" ref="F1204">IF(B1204="","",(IF(B1204="Compra de estoque","",(_xlfn.IFS(AND(B1204="Venda de produtos",H1204="Sul/Sudeste"),(VLOOKUP(C1204,Tabela1[#All],9,0)*E1204),AND(B1204="Venda de produtos",H1204="Nordeste"),(VLOOKUP(C1204,Tabela1[#All],11,0)*E1204),AND("Venda de produtos",H1204="Norte/Centro-Oeste"),(VLOOKUP(C1204,Tabela1[#All],13,0)*E1204))))))</f>
        <v/>
      </c>
      <c r="G1204" s="16" t="str">
        <f>IF(B1204="Compra de estoque",VLOOKUP(C1204,Tabela1[#All],4,0)*E1204,"")</f>
        <v/>
      </c>
      <c r="H1204" s="16"/>
    </row>
    <row r="1205" spans="4:8" x14ac:dyDescent="0.25">
      <c r="D1205" s="15" t="str">
        <f>IF(C1205="","",VLOOKUP(C1205,Tabela1[#All],2,0))</f>
        <v/>
      </c>
      <c r="F1205" s="16" t="str" cm="1">
        <f t="array" ref="F1205">IF(B1205="","",(IF(B1205="Compra de estoque","",(_xlfn.IFS(AND(B1205="Venda de produtos",H1205="Sul/Sudeste"),(VLOOKUP(C1205,Tabela1[#All],9,0)*E1205),AND(B1205="Venda de produtos",H1205="Nordeste"),(VLOOKUP(C1205,Tabela1[#All],11,0)*E1205),AND("Venda de produtos",H1205="Norte/Centro-Oeste"),(VLOOKUP(C1205,Tabela1[#All],13,0)*E1205))))))</f>
        <v/>
      </c>
      <c r="G1205" s="16" t="str">
        <f>IF(B1205="Compra de estoque",VLOOKUP(C1205,Tabela1[#All],4,0)*E1205,"")</f>
        <v/>
      </c>
      <c r="H1205" s="16"/>
    </row>
    <row r="1206" spans="4:8" x14ac:dyDescent="0.25">
      <c r="D1206" s="15" t="str">
        <f>IF(C1206="","",VLOOKUP(C1206,Tabela1[#All],2,0))</f>
        <v/>
      </c>
      <c r="F1206" s="16" t="str" cm="1">
        <f t="array" ref="F1206">IF(B1206="","",(IF(B1206="Compra de estoque","",(_xlfn.IFS(AND(B1206="Venda de produtos",H1206="Sul/Sudeste"),(VLOOKUP(C1206,Tabela1[#All],9,0)*E1206),AND(B1206="Venda de produtos",H1206="Nordeste"),(VLOOKUP(C1206,Tabela1[#All],11,0)*E1206),AND("Venda de produtos",H1206="Norte/Centro-Oeste"),(VLOOKUP(C1206,Tabela1[#All],13,0)*E1206))))))</f>
        <v/>
      </c>
      <c r="G1206" s="16" t="str">
        <f>IF(B1206="Compra de estoque",VLOOKUP(C1206,Tabela1[#All],4,0)*E1206,"")</f>
        <v/>
      </c>
      <c r="H1206" s="16"/>
    </row>
    <row r="1207" spans="4:8" x14ac:dyDescent="0.25">
      <c r="D1207" s="15" t="str">
        <f>IF(C1207="","",VLOOKUP(C1207,Tabela1[#All],2,0))</f>
        <v/>
      </c>
      <c r="F1207" s="16" t="str" cm="1">
        <f t="array" ref="F1207">IF(B1207="","",(IF(B1207="Compra de estoque","",(_xlfn.IFS(AND(B1207="Venda de produtos",H1207="Sul/Sudeste"),(VLOOKUP(C1207,Tabela1[#All],9,0)*E1207),AND(B1207="Venda de produtos",H1207="Nordeste"),(VLOOKUP(C1207,Tabela1[#All],11,0)*E1207),AND("Venda de produtos",H1207="Norte/Centro-Oeste"),(VLOOKUP(C1207,Tabela1[#All],13,0)*E1207))))))</f>
        <v/>
      </c>
      <c r="G1207" s="16" t="str">
        <f>IF(B1207="Compra de estoque",VLOOKUP(C1207,Tabela1[#All],4,0)*E1207,"")</f>
        <v/>
      </c>
      <c r="H1207" s="16"/>
    </row>
    <row r="1208" spans="4:8" x14ac:dyDescent="0.25">
      <c r="D1208" s="15" t="str">
        <f>IF(C1208="","",VLOOKUP(C1208,Tabela1[#All],2,0))</f>
        <v/>
      </c>
      <c r="F1208" s="16" t="str" cm="1">
        <f t="array" ref="F1208">IF(B1208="","",(IF(B1208="Compra de estoque","",(_xlfn.IFS(AND(B1208="Venda de produtos",H1208="Sul/Sudeste"),(VLOOKUP(C1208,Tabela1[#All],9,0)*E1208),AND(B1208="Venda de produtos",H1208="Nordeste"),(VLOOKUP(C1208,Tabela1[#All],11,0)*E1208),AND("Venda de produtos",H1208="Norte/Centro-Oeste"),(VLOOKUP(C1208,Tabela1[#All],13,0)*E1208))))))</f>
        <v/>
      </c>
      <c r="G1208" s="16" t="str">
        <f>IF(B1208="Compra de estoque",VLOOKUP(C1208,Tabela1[#All],4,0)*E1208,"")</f>
        <v/>
      </c>
      <c r="H1208" s="16"/>
    </row>
    <row r="1209" spans="4:8" x14ac:dyDescent="0.25">
      <c r="D1209" s="15" t="str">
        <f>IF(C1209="","",VLOOKUP(C1209,Tabela1[#All],2,0))</f>
        <v/>
      </c>
      <c r="F1209" s="16" t="str" cm="1">
        <f t="array" ref="F1209">IF(B1209="","",(IF(B1209="Compra de estoque","",(_xlfn.IFS(AND(B1209="Venda de produtos",H1209="Sul/Sudeste"),(VLOOKUP(C1209,Tabela1[#All],9,0)*E1209),AND(B1209="Venda de produtos",H1209="Nordeste"),(VLOOKUP(C1209,Tabela1[#All],11,0)*E1209),AND("Venda de produtos",H1209="Norte/Centro-Oeste"),(VLOOKUP(C1209,Tabela1[#All],13,0)*E1209))))))</f>
        <v/>
      </c>
      <c r="G1209" s="16" t="str">
        <f>IF(B1209="Compra de estoque",VLOOKUP(C1209,Tabela1[#All],4,0)*E1209,"")</f>
        <v/>
      </c>
      <c r="H1209" s="16"/>
    </row>
    <row r="1210" spans="4:8" x14ac:dyDescent="0.25">
      <c r="D1210" s="15" t="str">
        <f>IF(C1210="","",VLOOKUP(C1210,Tabela1[#All],2,0))</f>
        <v/>
      </c>
      <c r="F1210" s="16" t="str" cm="1">
        <f t="array" ref="F1210">IF(B1210="","",(IF(B1210="Compra de estoque","",(_xlfn.IFS(AND(B1210="Venda de produtos",H1210="Sul/Sudeste"),(VLOOKUP(C1210,Tabela1[#All],9,0)*E1210),AND(B1210="Venda de produtos",H1210="Nordeste"),(VLOOKUP(C1210,Tabela1[#All],11,0)*E1210),AND("Venda de produtos",H1210="Norte/Centro-Oeste"),(VLOOKUP(C1210,Tabela1[#All],13,0)*E1210))))))</f>
        <v/>
      </c>
      <c r="G1210" s="16" t="str">
        <f>IF(B1210="Compra de estoque",VLOOKUP(C1210,Tabela1[#All],4,0)*E1210,"")</f>
        <v/>
      </c>
      <c r="H1210" s="16"/>
    </row>
    <row r="1211" spans="4:8" x14ac:dyDescent="0.25">
      <c r="D1211" s="15" t="str">
        <f>IF(C1211="","",VLOOKUP(C1211,Tabela1[#All],2,0))</f>
        <v/>
      </c>
      <c r="F1211" s="16" t="str" cm="1">
        <f t="array" ref="F1211">IF(B1211="","",(IF(B1211="Compra de estoque","",(_xlfn.IFS(AND(B1211="Venda de produtos",H1211="Sul/Sudeste"),(VLOOKUP(C1211,Tabela1[#All],9,0)*E1211),AND(B1211="Venda de produtos",H1211="Nordeste"),(VLOOKUP(C1211,Tabela1[#All],11,0)*E1211),AND("Venda de produtos",H1211="Norte/Centro-Oeste"),(VLOOKUP(C1211,Tabela1[#All],13,0)*E1211))))))</f>
        <v/>
      </c>
      <c r="G1211" s="16" t="str">
        <f>IF(B1211="Compra de estoque",VLOOKUP(C1211,Tabela1[#All],4,0)*E1211,"")</f>
        <v/>
      </c>
      <c r="H1211" s="16"/>
    </row>
    <row r="1212" spans="4:8" x14ac:dyDescent="0.25">
      <c r="D1212" s="15" t="str">
        <f>IF(C1212="","",VLOOKUP(C1212,Tabela1[#All],2,0))</f>
        <v/>
      </c>
      <c r="F1212" s="16" t="str" cm="1">
        <f t="array" ref="F1212">IF(B1212="","",(IF(B1212="Compra de estoque","",(_xlfn.IFS(AND(B1212="Venda de produtos",H1212="Sul/Sudeste"),(VLOOKUP(C1212,Tabela1[#All],9,0)*E1212),AND(B1212="Venda de produtos",H1212="Nordeste"),(VLOOKUP(C1212,Tabela1[#All],11,0)*E1212),AND("Venda de produtos",H1212="Norte/Centro-Oeste"),(VLOOKUP(C1212,Tabela1[#All],13,0)*E1212))))))</f>
        <v/>
      </c>
      <c r="G1212" s="16" t="str">
        <f>IF(B1212="Compra de estoque",VLOOKUP(C1212,Tabela1[#All],4,0)*E1212,"")</f>
        <v/>
      </c>
      <c r="H1212" s="16"/>
    </row>
    <row r="1213" spans="4:8" x14ac:dyDescent="0.25">
      <c r="D1213" s="15" t="str">
        <f>IF(C1213="","",VLOOKUP(C1213,Tabela1[#All],2,0))</f>
        <v/>
      </c>
      <c r="F1213" s="16" t="str" cm="1">
        <f t="array" ref="F1213">IF(B1213="","",(IF(B1213="Compra de estoque","",(_xlfn.IFS(AND(B1213="Venda de produtos",H1213="Sul/Sudeste"),(VLOOKUP(C1213,Tabela1[#All],9,0)*E1213),AND(B1213="Venda de produtos",H1213="Nordeste"),(VLOOKUP(C1213,Tabela1[#All],11,0)*E1213),AND("Venda de produtos",H1213="Norte/Centro-Oeste"),(VLOOKUP(C1213,Tabela1[#All],13,0)*E1213))))))</f>
        <v/>
      </c>
      <c r="G1213" s="16" t="str">
        <f>IF(B1213="Compra de estoque",VLOOKUP(C1213,Tabela1[#All],4,0)*E1213,"")</f>
        <v/>
      </c>
      <c r="H1213" s="16"/>
    </row>
    <row r="1214" spans="4:8" x14ac:dyDescent="0.25">
      <c r="D1214" s="15" t="str">
        <f>IF(C1214="","",VLOOKUP(C1214,Tabela1[#All],2,0))</f>
        <v/>
      </c>
      <c r="F1214" s="16" t="str" cm="1">
        <f t="array" ref="F1214">IF(B1214="","",(IF(B1214="Compra de estoque","",(_xlfn.IFS(AND(B1214="Venda de produtos",H1214="Sul/Sudeste"),(VLOOKUP(C1214,Tabela1[#All],9,0)*E1214),AND(B1214="Venda de produtos",H1214="Nordeste"),(VLOOKUP(C1214,Tabela1[#All],11,0)*E1214),AND("Venda de produtos",H1214="Norte/Centro-Oeste"),(VLOOKUP(C1214,Tabela1[#All],13,0)*E1214))))))</f>
        <v/>
      </c>
      <c r="G1214" s="16" t="str">
        <f>IF(B1214="Compra de estoque",VLOOKUP(C1214,Tabela1[#All],4,0)*E1214,"")</f>
        <v/>
      </c>
      <c r="H1214" s="16"/>
    </row>
    <row r="1215" spans="4:8" x14ac:dyDescent="0.25">
      <c r="D1215" s="15" t="str">
        <f>IF(C1215="","",VLOOKUP(C1215,Tabela1[#All],2,0))</f>
        <v/>
      </c>
      <c r="F1215" s="16" t="str" cm="1">
        <f t="array" ref="F1215">IF(B1215="","",(IF(B1215="Compra de estoque","",(_xlfn.IFS(AND(B1215="Venda de produtos",H1215="Sul/Sudeste"),(VLOOKUP(C1215,Tabela1[#All],9,0)*E1215),AND(B1215="Venda de produtos",H1215="Nordeste"),(VLOOKUP(C1215,Tabela1[#All],11,0)*E1215),AND("Venda de produtos",H1215="Norte/Centro-Oeste"),(VLOOKUP(C1215,Tabela1[#All],13,0)*E1215))))))</f>
        <v/>
      </c>
      <c r="G1215" s="16" t="str">
        <f>IF(B1215="Compra de estoque",VLOOKUP(C1215,Tabela1[#All],4,0)*E1215,"")</f>
        <v/>
      </c>
      <c r="H1215" s="16"/>
    </row>
    <row r="1216" spans="4:8" x14ac:dyDescent="0.25">
      <c r="D1216" s="15" t="str">
        <f>IF(C1216="","",VLOOKUP(C1216,Tabela1[#All],2,0))</f>
        <v/>
      </c>
      <c r="F1216" s="16" t="str" cm="1">
        <f t="array" ref="F1216">IF(B1216="","",(IF(B1216="Compra de estoque","",(_xlfn.IFS(AND(B1216="Venda de produtos",H1216="Sul/Sudeste"),(VLOOKUP(C1216,Tabela1[#All],9,0)*E1216),AND(B1216="Venda de produtos",H1216="Nordeste"),(VLOOKUP(C1216,Tabela1[#All],11,0)*E1216),AND("Venda de produtos",H1216="Norte/Centro-Oeste"),(VLOOKUP(C1216,Tabela1[#All],13,0)*E1216))))))</f>
        <v/>
      </c>
      <c r="G1216" s="16" t="str">
        <f>IF(B1216="Compra de estoque",VLOOKUP(C1216,Tabela1[#All],4,0)*E1216,"")</f>
        <v/>
      </c>
      <c r="H1216" s="16"/>
    </row>
    <row r="1217" spans="4:8" x14ac:dyDescent="0.25">
      <c r="D1217" s="15" t="str">
        <f>IF(C1217="","",VLOOKUP(C1217,Tabela1[#All],2,0))</f>
        <v/>
      </c>
      <c r="F1217" s="16" t="str" cm="1">
        <f t="array" ref="F1217">IF(B1217="","",(IF(B1217="Compra de estoque","",(_xlfn.IFS(AND(B1217="Venda de produtos",H1217="Sul/Sudeste"),(VLOOKUP(C1217,Tabela1[#All],9,0)*E1217),AND(B1217="Venda de produtos",H1217="Nordeste"),(VLOOKUP(C1217,Tabela1[#All],11,0)*E1217),AND("Venda de produtos",H1217="Norte/Centro-Oeste"),(VLOOKUP(C1217,Tabela1[#All],13,0)*E1217))))))</f>
        <v/>
      </c>
      <c r="G1217" s="16" t="str">
        <f>IF(B1217="Compra de estoque",VLOOKUP(C1217,Tabela1[#All],4,0)*E1217,"")</f>
        <v/>
      </c>
      <c r="H1217" s="16"/>
    </row>
    <row r="1218" spans="4:8" x14ac:dyDescent="0.25">
      <c r="D1218" s="15" t="str">
        <f>IF(C1218="","",VLOOKUP(C1218,Tabela1[#All],2,0))</f>
        <v/>
      </c>
      <c r="F1218" s="16" t="str" cm="1">
        <f t="array" ref="F1218">IF(B1218="","",(IF(B1218="Compra de estoque","",(_xlfn.IFS(AND(B1218="Venda de produtos",H1218="Sul/Sudeste"),(VLOOKUP(C1218,Tabela1[#All],9,0)*E1218),AND(B1218="Venda de produtos",H1218="Nordeste"),(VLOOKUP(C1218,Tabela1[#All],11,0)*E1218),AND("Venda de produtos",H1218="Norte/Centro-Oeste"),(VLOOKUP(C1218,Tabela1[#All],13,0)*E1218))))))</f>
        <v/>
      </c>
      <c r="G1218" s="16" t="str">
        <f>IF(B1218="Compra de estoque",VLOOKUP(C1218,Tabela1[#All],4,0)*E1218,"")</f>
        <v/>
      </c>
      <c r="H1218" s="16"/>
    </row>
    <row r="1219" spans="4:8" x14ac:dyDescent="0.25">
      <c r="D1219" s="15" t="str">
        <f>IF(C1219="","",VLOOKUP(C1219,Tabela1[#All],2,0))</f>
        <v/>
      </c>
      <c r="F1219" s="16" t="str" cm="1">
        <f t="array" ref="F1219">IF(B1219="","",(IF(B1219="Compra de estoque","",(_xlfn.IFS(AND(B1219="Venda de produtos",H1219="Sul/Sudeste"),(VLOOKUP(C1219,Tabela1[#All],9,0)*E1219),AND(B1219="Venda de produtos",H1219="Nordeste"),(VLOOKUP(C1219,Tabela1[#All],11,0)*E1219),AND("Venda de produtos",H1219="Norte/Centro-Oeste"),(VLOOKUP(C1219,Tabela1[#All],13,0)*E1219))))))</f>
        <v/>
      </c>
      <c r="G1219" s="16" t="str">
        <f>IF(B1219="Compra de estoque",VLOOKUP(C1219,Tabela1[#All],4,0)*E1219,"")</f>
        <v/>
      </c>
      <c r="H1219" s="16"/>
    </row>
    <row r="1220" spans="4:8" x14ac:dyDescent="0.25">
      <c r="D1220" s="15" t="str">
        <f>IF(C1220="","",VLOOKUP(C1220,Tabela1[#All],2,0))</f>
        <v/>
      </c>
      <c r="F1220" s="16" t="str" cm="1">
        <f t="array" ref="F1220">IF(B1220="","",(IF(B1220="Compra de estoque","",(_xlfn.IFS(AND(B1220="Venda de produtos",H1220="Sul/Sudeste"),(VLOOKUP(C1220,Tabela1[#All],9,0)*E1220),AND(B1220="Venda de produtos",H1220="Nordeste"),(VLOOKUP(C1220,Tabela1[#All],11,0)*E1220),AND("Venda de produtos",H1220="Norte/Centro-Oeste"),(VLOOKUP(C1220,Tabela1[#All],13,0)*E1220))))))</f>
        <v/>
      </c>
      <c r="G1220" s="16" t="str">
        <f>IF(B1220="Compra de estoque",VLOOKUP(C1220,Tabela1[#All],4,0)*E1220,"")</f>
        <v/>
      </c>
      <c r="H1220" s="16"/>
    </row>
    <row r="1221" spans="4:8" x14ac:dyDescent="0.25">
      <c r="D1221" s="15" t="str">
        <f>IF(C1221="","",VLOOKUP(C1221,Tabela1[#All],2,0))</f>
        <v/>
      </c>
      <c r="F1221" s="16" t="str" cm="1">
        <f t="array" ref="F1221">IF(B1221="","",(IF(B1221="Compra de estoque","",(_xlfn.IFS(AND(B1221="Venda de produtos",H1221="Sul/Sudeste"),(VLOOKUP(C1221,Tabela1[#All],9,0)*E1221),AND(B1221="Venda de produtos",H1221="Nordeste"),(VLOOKUP(C1221,Tabela1[#All],11,0)*E1221),AND("Venda de produtos",H1221="Norte/Centro-Oeste"),(VLOOKUP(C1221,Tabela1[#All],13,0)*E1221))))))</f>
        <v/>
      </c>
      <c r="G1221" s="16" t="str">
        <f>IF(B1221="Compra de estoque",VLOOKUP(C1221,Tabela1[#All],4,0)*E1221,"")</f>
        <v/>
      </c>
      <c r="H1221" s="16"/>
    </row>
    <row r="1222" spans="4:8" x14ac:dyDescent="0.25">
      <c r="D1222" s="15" t="str">
        <f>IF(C1222="","",VLOOKUP(C1222,Tabela1[#All],2,0))</f>
        <v/>
      </c>
      <c r="F1222" s="16" t="str" cm="1">
        <f t="array" ref="F1222">IF(B1222="","",(IF(B1222="Compra de estoque","",(_xlfn.IFS(AND(B1222="Venda de produtos",H1222="Sul/Sudeste"),(VLOOKUP(C1222,Tabela1[#All],9,0)*E1222),AND(B1222="Venda de produtos",H1222="Nordeste"),(VLOOKUP(C1222,Tabela1[#All],11,0)*E1222),AND("Venda de produtos",H1222="Norte/Centro-Oeste"),(VLOOKUP(C1222,Tabela1[#All],13,0)*E1222))))))</f>
        <v/>
      </c>
      <c r="G1222" s="16" t="str">
        <f>IF(B1222="Compra de estoque",VLOOKUP(C1222,Tabela1[#All],4,0)*E1222,"")</f>
        <v/>
      </c>
      <c r="H1222" s="16"/>
    </row>
    <row r="1223" spans="4:8" x14ac:dyDescent="0.25">
      <c r="D1223" s="15" t="str">
        <f>IF(C1223="","",VLOOKUP(C1223,Tabela1[#All],2,0))</f>
        <v/>
      </c>
      <c r="F1223" s="16" t="str" cm="1">
        <f t="array" ref="F1223">IF(B1223="","",(IF(B1223="Compra de estoque","",(_xlfn.IFS(AND(B1223="Venda de produtos",H1223="Sul/Sudeste"),(VLOOKUP(C1223,Tabela1[#All],9,0)*E1223),AND(B1223="Venda de produtos",H1223="Nordeste"),(VLOOKUP(C1223,Tabela1[#All],11,0)*E1223),AND("Venda de produtos",H1223="Norte/Centro-Oeste"),(VLOOKUP(C1223,Tabela1[#All],13,0)*E1223))))))</f>
        <v/>
      </c>
      <c r="G1223" s="16" t="str">
        <f>IF(B1223="Compra de estoque",VLOOKUP(C1223,Tabela1[#All],4,0)*E1223,"")</f>
        <v/>
      </c>
      <c r="H1223" s="16"/>
    </row>
    <row r="1224" spans="4:8" x14ac:dyDescent="0.25">
      <c r="D1224" s="15" t="str">
        <f>IF(C1224="","",VLOOKUP(C1224,Tabela1[#All],2,0))</f>
        <v/>
      </c>
      <c r="F1224" s="16" t="str" cm="1">
        <f t="array" ref="F1224">IF(B1224="","",(IF(B1224="Compra de estoque","",(_xlfn.IFS(AND(B1224="Venda de produtos",H1224="Sul/Sudeste"),(VLOOKUP(C1224,Tabela1[#All],9,0)*E1224),AND(B1224="Venda de produtos",H1224="Nordeste"),(VLOOKUP(C1224,Tabela1[#All],11,0)*E1224),AND("Venda de produtos",H1224="Norte/Centro-Oeste"),(VLOOKUP(C1224,Tabela1[#All],13,0)*E1224))))))</f>
        <v/>
      </c>
      <c r="G1224" s="16" t="str">
        <f>IF(B1224="Compra de estoque",VLOOKUP(C1224,Tabela1[#All],4,0)*E1224,"")</f>
        <v/>
      </c>
      <c r="H1224" s="16"/>
    </row>
    <row r="1225" spans="4:8" x14ac:dyDescent="0.25">
      <c r="D1225" s="15" t="str">
        <f>IF(C1225="","",VLOOKUP(C1225,Tabela1[#All],2,0))</f>
        <v/>
      </c>
      <c r="F1225" s="16" t="str" cm="1">
        <f t="array" ref="F1225">IF(B1225="","",(IF(B1225="Compra de estoque","",(_xlfn.IFS(AND(B1225="Venda de produtos",H1225="Sul/Sudeste"),(VLOOKUP(C1225,Tabela1[#All],9,0)*E1225),AND(B1225="Venda de produtos",H1225="Nordeste"),(VLOOKUP(C1225,Tabela1[#All],11,0)*E1225),AND("Venda de produtos",H1225="Norte/Centro-Oeste"),(VLOOKUP(C1225,Tabela1[#All],13,0)*E1225))))))</f>
        <v/>
      </c>
      <c r="G1225" s="16" t="str">
        <f>IF(B1225="Compra de estoque",VLOOKUP(C1225,Tabela1[#All],4,0)*E1225,"")</f>
        <v/>
      </c>
      <c r="H1225" s="16"/>
    </row>
    <row r="1226" spans="4:8" x14ac:dyDescent="0.25">
      <c r="D1226" s="15" t="str">
        <f>IF(C1226="","",VLOOKUP(C1226,Tabela1[#All],2,0))</f>
        <v/>
      </c>
      <c r="F1226" s="16" t="str" cm="1">
        <f t="array" ref="F1226">IF(B1226="","",(IF(B1226="Compra de estoque","",(_xlfn.IFS(AND(B1226="Venda de produtos",H1226="Sul/Sudeste"),(VLOOKUP(C1226,Tabela1[#All],9,0)*E1226),AND(B1226="Venda de produtos",H1226="Nordeste"),(VLOOKUP(C1226,Tabela1[#All],11,0)*E1226),AND("Venda de produtos",H1226="Norte/Centro-Oeste"),(VLOOKUP(C1226,Tabela1[#All],13,0)*E1226))))))</f>
        <v/>
      </c>
      <c r="G1226" s="16" t="str">
        <f>IF(B1226="Compra de estoque",VLOOKUP(C1226,Tabela1[#All],4,0)*E1226,"")</f>
        <v/>
      </c>
      <c r="H1226" s="16"/>
    </row>
    <row r="1227" spans="4:8" x14ac:dyDescent="0.25">
      <c r="D1227" s="15" t="str">
        <f>IF(C1227="","",VLOOKUP(C1227,Tabela1[#All],2,0))</f>
        <v/>
      </c>
      <c r="F1227" s="16" t="str" cm="1">
        <f t="array" ref="F1227">IF(B1227="","",(IF(B1227="Compra de estoque","",(_xlfn.IFS(AND(B1227="Venda de produtos",H1227="Sul/Sudeste"),(VLOOKUP(C1227,Tabela1[#All],9,0)*E1227),AND(B1227="Venda de produtos",H1227="Nordeste"),(VLOOKUP(C1227,Tabela1[#All],11,0)*E1227),AND("Venda de produtos",H1227="Norte/Centro-Oeste"),(VLOOKUP(C1227,Tabela1[#All],13,0)*E1227))))))</f>
        <v/>
      </c>
      <c r="G1227" s="16" t="str">
        <f>IF(B1227="Compra de estoque",VLOOKUP(C1227,Tabela1[#All],4,0)*E1227,"")</f>
        <v/>
      </c>
      <c r="H1227" s="16"/>
    </row>
    <row r="1228" spans="4:8" x14ac:dyDescent="0.25">
      <c r="D1228" s="15" t="str">
        <f>IF(C1228="","",VLOOKUP(C1228,Tabela1[#All],2,0))</f>
        <v/>
      </c>
      <c r="F1228" s="16" t="str" cm="1">
        <f t="array" ref="F1228">IF(B1228="","",(IF(B1228="Compra de estoque","",(_xlfn.IFS(AND(B1228="Venda de produtos",H1228="Sul/Sudeste"),(VLOOKUP(C1228,Tabela1[#All],9,0)*E1228),AND(B1228="Venda de produtos",H1228="Nordeste"),(VLOOKUP(C1228,Tabela1[#All],11,0)*E1228),AND("Venda de produtos",H1228="Norte/Centro-Oeste"),(VLOOKUP(C1228,Tabela1[#All],13,0)*E1228))))))</f>
        <v/>
      </c>
      <c r="G1228" s="16" t="str">
        <f>IF(B1228="Compra de estoque",VLOOKUP(C1228,Tabela1[#All],4,0)*E1228,"")</f>
        <v/>
      </c>
      <c r="H1228" s="16"/>
    </row>
    <row r="1229" spans="4:8" x14ac:dyDescent="0.25">
      <c r="D1229" s="15" t="str">
        <f>IF(C1229="","",VLOOKUP(C1229,Tabela1[#All],2,0))</f>
        <v/>
      </c>
      <c r="F1229" s="16" t="str" cm="1">
        <f t="array" ref="F1229">IF(B1229="","",(IF(B1229="Compra de estoque","",(_xlfn.IFS(AND(B1229="Venda de produtos",H1229="Sul/Sudeste"),(VLOOKUP(C1229,Tabela1[#All],9,0)*E1229),AND(B1229="Venda de produtos",H1229="Nordeste"),(VLOOKUP(C1229,Tabela1[#All],11,0)*E1229),AND("Venda de produtos",H1229="Norte/Centro-Oeste"),(VLOOKUP(C1229,Tabela1[#All],13,0)*E1229))))))</f>
        <v/>
      </c>
      <c r="G1229" s="16" t="str">
        <f>IF(B1229="Compra de estoque",VLOOKUP(C1229,Tabela1[#All],4,0)*E1229,"")</f>
        <v/>
      </c>
      <c r="H1229" s="16"/>
    </row>
    <row r="1230" spans="4:8" x14ac:dyDescent="0.25">
      <c r="D1230" s="15" t="str">
        <f>IF(C1230="","",VLOOKUP(C1230,Tabela1[#All],2,0))</f>
        <v/>
      </c>
      <c r="F1230" s="16" t="str" cm="1">
        <f t="array" ref="F1230">IF(B1230="","",(IF(B1230="Compra de estoque","",(_xlfn.IFS(AND(B1230="Venda de produtos",H1230="Sul/Sudeste"),(VLOOKUP(C1230,Tabela1[#All],9,0)*E1230),AND(B1230="Venda de produtos",H1230="Nordeste"),(VLOOKUP(C1230,Tabela1[#All],11,0)*E1230),AND("Venda de produtos",H1230="Norte/Centro-Oeste"),(VLOOKUP(C1230,Tabela1[#All],13,0)*E1230))))))</f>
        <v/>
      </c>
      <c r="G1230" s="16" t="str">
        <f>IF(B1230="Compra de estoque",VLOOKUP(C1230,Tabela1[#All],4,0)*E1230,"")</f>
        <v/>
      </c>
      <c r="H1230" s="16"/>
    </row>
    <row r="1231" spans="4:8" x14ac:dyDescent="0.25">
      <c r="D1231" s="15" t="str">
        <f>IF(C1231="","",VLOOKUP(C1231,Tabela1[#All],2,0))</f>
        <v/>
      </c>
      <c r="F1231" s="16" t="str" cm="1">
        <f t="array" ref="F1231">IF(B1231="","",(IF(B1231="Compra de estoque","",(_xlfn.IFS(AND(B1231="Venda de produtos",H1231="Sul/Sudeste"),(VLOOKUP(C1231,Tabela1[#All],9,0)*E1231),AND(B1231="Venda de produtos",H1231="Nordeste"),(VLOOKUP(C1231,Tabela1[#All],11,0)*E1231),AND("Venda de produtos",H1231="Norte/Centro-Oeste"),(VLOOKUP(C1231,Tabela1[#All],13,0)*E1231))))))</f>
        <v/>
      </c>
      <c r="G1231" s="16" t="str">
        <f>IF(B1231="Compra de estoque",VLOOKUP(C1231,Tabela1[#All],4,0)*E1231,"")</f>
        <v/>
      </c>
      <c r="H1231" s="16"/>
    </row>
    <row r="1232" spans="4:8" x14ac:dyDescent="0.25">
      <c r="D1232" s="15" t="str">
        <f>IF(C1232="","",VLOOKUP(C1232,Tabela1[#All],2,0))</f>
        <v/>
      </c>
      <c r="F1232" s="16" t="str" cm="1">
        <f t="array" ref="F1232">IF(B1232="","",(IF(B1232="Compra de estoque","",(_xlfn.IFS(AND(B1232="Venda de produtos",H1232="Sul/Sudeste"),(VLOOKUP(C1232,Tabela1[#All],9,0)*E1232),AND(B1232="Venda de produtos",H1232="Nordeste"),(VLOOKUP(C1232,Tabela1[#All],11,0)*E1232),AND("Venda de produtos",H1232="Norte/Centro-Oeste"),(VLOOKUP(C1232,Tabela1[#All],13,0)*E1232))))))</f>
        <v/>
      </c>
      <c r="G1232" s="16" t="str">
        <f>IF(B1232="Compra de estoque",VLOOKUP(C1232,Tabela1[#All],4,0)*E1232,"")</f>
        <v/>
      </c>
      <c r="H1232" s="16"/>
    </row>
    <row r="1233" spans="4:8" x14ac:dyDescent="0.25">
      <c r="D1233" s="15" t="str">
        <f>IF(C1233="","",VLOOKUP(C1233,Tabela1[#All],2,0))</f>
        <v/>
      </c>
      <c r="F1233" s="16" t="str" cm="1">
        <f t="array" ref="F1233">IF(B1233="","",(IF(B1233="Compra de estoque","",(_xlfn.IFS(AND(B1233="Venda de produtos",H1233="Sul/Sudeste"),(VLOOKUP(C1233,Tabela1[#All],9,0)*E1233),AND(B1233="Venda de produtos",H1233="Nordeste"),(VLOOKUP(C1233,Tabela1[#All],11,0)*E1233),AND("Venda de produtos",H1233="Norte/Centro-Oeste"),(VLOOKUP(C1233,Tabela1[#All],13,0)*E1233))))))</f>
        <v/>
      </c>
      <c r="G1233" s="16" t="str">
        <f>IF(B1233="Compra de estoque",VLOOKUP(C1233,Tabela1[#All],4,0)*E1233,"")</f>
        <v/>
      </c>
      <c r="H1233" s="16"/>
    </row>
    <row r="1234" spans="4:8" x14ac:dyDescent="0.25">
      <c r="D1234" s="15" t="str">
        <f>IF(C1234="","",VLOOKUP(C1234,Tabela1[#All],2,0))</f>
        <v/>
      </c>
      <c r="F1234" s="16" t="str" cm="1">
        <f t="array" ref="F1234">IF(B1234="","",(IF(B1234="Compra de estoque","",(_xlfn.IFS(AND(B1234="Venda de produtos",H1234="Sul/Sudeste"),(VLOOKUP(C1234,Tabela1[#All],9,0)*E1234),AND(B1234="Venda de produtos",H1234="Nordeste"),(VLOOKUP(C1234,Tabela1[#All],11,0)*E1234),AND("Venda de produtos",H1234="Norte/Centro-Oeste"),(VLOOKUP(C1234,Tabela1[#All],13,0)*E1234))))))</f>
        <v/>
      </c>
      <c r="G1234" s="16" t="str">
        <f>IF(B1234="Compra de estoque",VLOOKUP(C1234,Tabela1[#All],4,0)*E1234,"")</f>
        <v/>
      </c>
      <c r="H1234" s="16"/>
    </row>
    <row r="1235" spans="4:8" x14ac:dyDescent="0.25">
      <c r="D1235" s="15" t="str">
        <f>IF(C1235="","",VLOOKUP(C1235,Tabela1[#All],2,0))</f>
        <v/>
      </c>
      <c r="F1235" s="16" t="str" cm="1">
        <f t="array" ref="F1235">IF(B1235="","",(IF(B1235="Compra de estoque","",(_xlfn.IFS(AND(B1235="Venda de produtos",H1235="Sul/Sudeste"),(VLOOKUP(C1235,Tabela1[#All],9,0)*E1235),AND(B1235="Venda de produtos",H1235="Nordeste"),(VLOOKUP(C1235,Tabela1[#All],11,0)*E1235),AND("Venda de produtos",H1235="Norte/Centro-Oeste"),(VLOOKUP(C1235,Tabela1[#All],13,0)*E1235))))))</f>
        <v/>
      </c>
      <c r="G1235" s="16" t="str">
        <f>IF(B1235="Compra de estoque",VLOOKUP(C1235,Tabela1[#All],4,0)*E1235,"")</f>
        <v/>
      </c>
      <c r="H1235" s="16"/>
    </row>
    <row r="1236" spans="4:8" x14ac:dyDescent="0.25">
      <c r="D1236" s="15" t="str">
        <f>IF(C1236="","",VLOOKUP(C1236,Tabela1[#All],2,0))</f>
        <v/>
      </c>
      <c r="F1236" s="16" t="str" cm="1">
        <f t="array" ref="F1236">IF(B1236="","",(IF(B1236="Compra de estoque","",(_xlfn.IFS(AND(B1236="Venda de produtos",H1236="Sul/Sudeste"),(VLOOKUP(C1236,Tabela1[#All],9,0)*E1236),AND(B1236="Venda de produtos",H1236="Nordeste"),(VLOOKUP(C1236,Tabela1[#All],11,0)*E1236),AND("Venda de produtos",H1236="Norte/Centro-Oeste"),(VLOOKUP(C1236,Tabela1[#All],13,0)*E1236))))))</f>
        <v/>
      </c>
      <c r="G1236" s="16" t="str">
        <f>IF(B1236="Compra de estoque",VLOOKUP(C1236,Tabela1[#All],4,0)*E1236,"")</f>
        <v/>
      </c>
      <c r="H1236" s="16"/>
    </row>
    <row r="1237" spans="4:8" x14ac:dyDescent="0.25">
      <c r="D1237" s="15" t="str">
        <f>IF(C1237="","",VLOOKUP(C1237,Tabela1[#All],2,0))</f>
        <v/>
      </c>
      <c r="F1237" s="16" t="str" cm="1">
        <f t="array" ref="F1237">IF(B1237="","",(IF(B1237="Compra de estoque","",(_xlfn.IFS(AND(B1237="Venda de produtos",H1237="Sul/Sudeste"),(VLOOKUP(C1237,Tabela1[#All],9,0)*E1237),AND(B1237="Venda de produtos",H1237="Nordeste"),(VLOOKUP(C1237,Tabela1[#All],11,0)*E1237),AND("Venda de produtos",H1237="Norte/Centro-Oeste"),(VLOOKUP(C1237,Tabela1[#All],13,0)*E1237))))))</f>
        <v/>
      </c>
      <c r="G1237" s="16" t="str">
        <f>IF(B1237="Compra de estoque",VLOOKUP(C1237,Tabela1[#All],4,0)*E1237,"")</f>
        <v/>
      </c>
      <c r="H1237" s="16"/>
    </row>
    <row r="1238" spans="4:8" x14ac:dyDescent="0.25">
      <c r="D1238" s="15" t="str">
        <f>IF(C1238="","",VLOOKUP(C1238,Tabela1[#All],2,0))</f>
        <v/>
      </c>
      <c r="F1238" s="16" t="str" cm="1">
        <f t="array" ref="F1238">IF(B1238="","",(IF(B1238="Compra de estoque","",(_xlfn.IFS(AND(B1238="Venda de produtos",H1238="Sul/Sudeste"),(VLOOKUP(C1238,Tabela1[#All],9,0)*E1238),AND(B1238="Venda de produtos",H1238="Nordeste"),(VLOOKUP(C1238,Tabela1[#All],11,0)*E1238),AND("Venda de produtos",H1238="Norte/Centro-Oeste"),(VLOOKUP(C1238,Tabela1[#All],13,0)*E1238))))))</f>
        <v/>
      </c>
      <c r="G1238" s="16" t="str">
        <f>IF(B1238="Compra de estoque",VLOOKUP(C1238,Tabela1[#All],4,0)*E1238,"")</f>
        <v/>
      </c>
      <c r="H1238" s="16"/>
    </row>
    <row r="1239" spans="4:8" x14ac:dyDescent="0.25">
      <c r="D1239" s="15" t="str">
        <f>IF(C1239="","",VLOOKUP(C1239,Tabela1[#All],2,0))</f>
        <v/>
      </c>
      <c r="F1239" s="16" t="str" cm="1">
        <f t="array" ref="F1239">IF(B1239="","",(IF(B1239="Compra de estoque","",(_xlfn.IFS(AND(B1239="Venda de produtos",H1239="Sul/Sudeste"),(VLOOKUP(C1239,Tabela1[#All],9,0)*E1239),AND(B1239="Venda de produtos",H1239="Nordeste"),(VLOOKUP(C1239,Tabela1[#All],11,0)*E1239),AND("Venda de produtos",H1239="Norte/Centro-Oeste"),(VLOOKUP(C1239,Tabela1[#All],13,0)*E1239))))))</f>
        <v/>
      </c>
      <c r="G1239" s="16" t="str">
        <f>IF(B1239="Compra de estoque",VLOOKUP(C1239,Tabela1[#All],4,0)*E1239,"")</f>
        <v/>
      </c>
      <c r="H1239" s="16"/>
    </row>
    <row r="1240" spans="4:8" x14ac:dyDescent="0.25">
      <c r="D1240" s="15" t="str">
        <f>IF(C1240="","",VLOOKUP(C1240,Tabela1[#All],2,0))</f>
        <v/>
      </c>
      <c r="F1240" s="16" t="str" cm="1">
        <f t="array" ref="F1240">IF(B1240="","",(IF(B1240="Compra de estoque","",(_xlfn.IFS(AND(B1240="Venda de produtos",H1240="Sul/Sudeste"),(VLOOKUP(C1240,Tabela1[#All],9,0)*E1240),AND(B1240="Venda de produtos",H1240="Nordeste"),(VLOOKUP(C1240,Tabela1[#All],11,0)*E1240),AND("Venda de produtos",H1240="Norte/Centro-Oeste"),(VLOOKUP(C1240,Tabela1[#All],13,0)*E1240))))))</f>
        <v/>
      </c>
      <c r="G1240" s="16" t="str">
        <f>IF(B1240="Compra de estoque",VLOOKUP(C1240,Tabela1[#All],4,0)*E1240,"")</f>
        <v/>
      </c>
      <c r="H1240" s="16"/>
    </row>
    <row r="1241" spans="4:8" x14ac:dyDescent="0.25">
      <c r="D1241" s="15" t="str">
        <f>IF(C1241="","",VLOOKUP(C1241,Tabela1[#All],2,0))</f>
        <v/>
      </c>
      <c r="F1241" s="16" t="str" cm="1">
        <f t="array" ref="F1241">IF(B1241="","",(IF(B1241="Compra de estoque","",(_xlfn.IFS(AND(B1241="Venda de produtos",H1241="Sul/Sudeste"),(VLOOKUP(C1241,Tabela1[#All],9,0)*E1241),AND(B1241="Venda de produtos",H1241="Nordeste"),(VLOOKUP(C1241,Tabela1[#All],11,0)*E1241),AND("Venda de produtos",H1241="Norte/Centro-Oeste"),(VLOOKUP(C1241,Tabela1[#All],13,0)*E1241))))))</f>
        <v/>
      </c>
      <c r="G1241" s="16" t="str">
        <f>IF(B1241="Compra de estoque",VLOOKUP(C1241,Tabela1[#All],4,0)*E1241,"")</f>
        <v/>
      </c>
      <c r="H1241" s="16"/>
    </row>
    <row r="1242" spans="4:8" x14ac:dyDescent="0.25">
      <c r="D1242" s="15" t="str">
        <f>IF(C1242="","",VLOOKUP(C1242,Tabela1[#All],2,0))</f>
        <v/>
      </c>
      <c r="F1242" s="16" t="str" cm="1">
        <f t="array" ref="F1242">IF(B1242="","",(IF(B1242="Compra de estoque","",(_xlfn.IFS(AND(B1242="Venda de produtos",H1242="Sul/Sudeste"),(VLOOKUP(C1242,Tabela1[#All],9,0)*E1242),AND(B1242="Venda de produtos",H1242="Nordeste"),(VLOOKUP(C1242,Tabela1[#All],11,0)*E1242),AND("Venda de produtos",H1242="Norte/Centro-Oeste"),(VLOOKUP(C1242,Tabela1[#All],13,0)*E1242))))))</f>
        <v/>
      </c>
      <c r="G1242" s="16" t="str">
        <f>IF(B1242="Compra de estoque",VLOOKUP(C1242,Tabela1[#All],4,0)*E1242,"")</f>
        <v/>
      </c>
      <c r="H1242" s="16"/>
    </row>
    <row r="1243" spans="4:8" x14ac:dyDescent="0.25">
      <c r="D1243" s="15" t="str">
        <f>IF(C1243="","",VLOOKUP(C1243,Tabela1[#All],2,0))</f>
        <v/>
      </c>
      <c r="F1243" s="16" t="str" cm="1">
        <f t="array" ref="F1243">IF(B1243="","",(IF(B1243="Compra de estoque","",(_xlfn.IFS(AND(B1243="Venda de produtos",H1243="Sul/Sudeste"),(VLOOKUP(C1243,Tabela1[#All],9,0)*E1243),AND(B1243="Venda de produtos",H1243="Nordeste"),(VLOOKUP(C1243,Tabela1[#All],11,0)*E1243),AND("Venda de produtos",H1243="Norte/Centro-Oeste"),(VLOOKUP(C1243,Tabela1[#All],13,0)*E1243))))))</f>
        <v/>
      </c>
      <c r="G1243" s="16" t="str">
        <f>IF(B1243="Compra de estoque",VLOOKUP(C1243,Tabela1[#All],4,0)*E1243,"")</f>
        <v/>
      </c>
      <c r="H1243" s="16"/>
    </row>
    <row r="1244" spans="4:8" x14ac:dyDescent="0.25">
      <c r="D1244" s="15" t="str">
        <f>IF(C1244="","",VLOOKUP(C1244,Tabela1[#All],2,0))</f>
        <v/>
      </c>
      <c r="F1244" s="16" t="str" cm="1">
        <f t="array" ref="F1244">IF(B1244="","",(IF(B1244="Compra de estoque","",(_xlfn.IFS(AND(B1244="Venda de produtos",H1244="Sul/Sudeste"),(VLOOKUP(C1244,Tabela1[#All],9,0)*E1244),AND(B1244="Venda de produtos",H1244="Nordeste"),(VLOOKUP(C1244,Tabela1[#All],11,0)*E1244),AND("Venda de produtos",H1244="Norte/Centro-Oeste"),(VLOOKUP(C1244,Tabela1[#All],13,0)*E1244))))))</f>
        <v/>
      </c>
      <c r="G1244" s="16" t="str">
        <f>IF(B1244="Compra de estoque",VLOOKUP(C1244,Tabela1[#All],4,0)*E1244,"")</f>
        <v/>
      </c>
      <c r="H1244" s="16"/>
    </row>
    <row r="1245" spans="4:8" x14ac:dyDescent="0.25">
      <c r="D1245" s="15" t="str">
        <f>IF(C1245="","",VLOOKUP(C1245,Tabela1[#All],2,0))</f>
        <v/>
      </c>
      <c r="F1245" s="16" t="str" cm="1">
        <f t="array" ref="F1245">IF(B1245="","",(IF(B1245="Compra de estoque","",(_xlfn.IFS(AND(B1245="Venda de produtos",H1245="Sul/Sudeste"),(VLOOKUP(C1245,Tabela1[#All],9,0)*E1245),AND(B1245="Venda de produtos",H1245="Nordeste"),(VLOOKUP(C1245,Tabela1[#All],11,0)*E1245),AND("Venda de produtos",H1245="Norte/Centro-Oeste"),(VLOOKUP(C1245,Tabela1[#All],13,0)*E1245))))))</f>
        <v/>
      </c>
      <c r="G1245" s="16" t="str">
        <f>IF(B1245="Compra de estoque",VLOOKUP(C1245,Tabela1[#All],4,0)*E1245,"")</f>
        <v/>
      </c>
      <c r="H1245" s="16"/>
    </row>
    <row r="1246" spans="4:8" x14ac:dyDescent="0.25">
      <c r="D1246" s="15" t="str">
        <f>IF(C1246="","",VLOOKUP(C1246,Tabela1[#All],2,0))</f>
        <v/>
      </c>
      <c r="F1246" s="16" t="str" cm="1">
        <f t="array" ref="F1246">IF(B1246="","",(IF(B1246="Compra de estoque","",(_xlfn.IFS(AND(B1246="Venda de produtos",H1246="Sul/Sudeste"),(VLOOKUP(C1246,Tabela1[#All],9,0)*E1246),AND(B1246="Venda de produtos",H1246="Nordeste"),(VLOOKUP(C1246,Tabela1[#All],11,0)*E1246),AND("Venda de produtos",H1246="Norte/Centro-Oeste"),(VLOOKUP(C1246,Tabela1[#All],13,0)*E1246))))))</f>
        <v/>
      </c>
      <c r="G1246" s="16" t="str">
        <f>IF(B1246="Compra de estoque",VLOOKUP(C1246,Tabela1[#All],4,0)*E1246,"")</f>
        <v/>
      </c>
      <c r="H1246" s="16"/>
    </row>
    <row r="1247" spans="4:8" x14ac:dyDescent="0.25">
      <c r="D1247" s="15" t="str">
        <f>IF(C1247="","",VLOOKUP(C1247,Tabela1[#All],2,0))</f>
        <v/>
      </c>
      <c r="F1247" s="16" t="str" cm="1">
        <f t="array" ref="F1247">IF(B1247="","",(IF(B1247="Compra de estoque","",(_xlfn.IFS(AND(B1247="Venda de produtos",H1247="Sul/Sudeste"),(VLOOKUP(C1247,Tabela1[#All],9,0)*E1247),AND(B1247="Venda de produtos",H1247="Nordeste"),(VLOOKUP(C1247,Tabela1[#All],11,0)*E1247),AND("Venda de produtos",H1247="Norte/Centro-Oeste"),(VLOOKUP(C1247,Tabela1[#All],13,0)*E1247))))))</f>
        <v/>
      </c>
      <c r="G1247" s="16" t="str">
        <f>IF(B1247="Compra de estoque",VLOOKUP(C1247,Tabela1[#All],4,0)*E1247,"")</f>
        <v/>
      </c>
      <c r="H1247" s="16"/>
    </row>
    <row r="1248" spans="4:8" x14ac:dyDescent="0.25">
      <c r="D1248" s="15" t="str">
        <f>IF(C1248="","",VLOOKUP(C1248,Tabela1[#All],2,0))</f>
        <v/>
      </c>
      <c r="F1248" s="16" t="str" cm="1">
        <f t="array" ref="F1248">IF(B1248="","",(IF(B1248="Compra de estoque","",(_xlfn.IFS(AND(B1248="Venda de produtos",H1248="Sul/Sudeste"),(VLOOKUP(C1248,Tabela1[#All],9,0)*E1248),AND(B1248="Venda de produtos",H1248="Nordeste"),(VLOOKUP(C1248,Tabela1[#All],11,0)*E1248),AND("Venda de produtos",H1248="Norte/Centro-Oeste"),(VLOOKUP(C1248,Tabela1[#All],13,0)*E1248))))))</f>
        <v/>
      </c>
      <c r="G1248" s="16" t="str">
        <f>IF(B1248="Compra de estoque",VLOOKUP(C1248,Tabela1[#All],4,0)*E1248,"")</f>
        <v/>
      </c>
      <c r="H1248" s="16"/>
    </row>
    <row r="1249" spans="4:8" x14ac:dyDescent="0.25">
      <c r="D1249" s="15" t="str">
        <f>IF(C1249="","",VLOOKUP(C1249,Tabela1[#All],2,0))</f>
        <v/>
      </c>
      <c r="F1249" s="16" t="str" cm="1">
        <f t="array" ref="F1249">IF(B1249="","",(IF(B1249="Compra de estoque","",(_xlfn.IFS(AND(B1249="Venda de produtos",H1249="Sul/Sudeste"),(VLOOKUP(C1249,Tabela1[#All],9,0)*E1249),AND(B1249="Venda de produtos",H1249="Nordeste"),(VLOOKUP(C1249,Tabela1[#All],11,0)*E1249),AND("Venda de produtos",H1249="Norte/Centro-Oeste"),(VLOOKUP(C1249,Tabela1[#All],13,0)*E1249))))))</f>
        <v/>
      </c>
      <c r="G1249" s="16" t="str">
        <f>IF(B1249="Compra de estoque",VLOOKUP(C1249,Tabela1[#All],4,0)*E1249,"")</f>
        <v/>
      </c>
      <c r="H1249" s="16"/>
    </row>
    <row r="1250" spans="4:8" x14ac:dyDescent="0.25">
      <c r="D1250" s="15" t="str">
        <f>IF(C1250="","",VLOOKUP(C1250,Tabela1[#All],2,0))</f>
        <v/>
      </c>
      <c r="F1250" s="16" t="str" cm="1">
        <f t="array" ref="F1250">IF(B1250="","",(IF(B1250="Compra de estoque","",(_xlfn.IFS(AND(B1250="Venda de produtos",H1250="Sul/Sudeste"),(VLOOKUP(C1250,Tabela1[#All],9,0)*E1250),AND(B1250="Venda de produtos",H1250="Nordeste"),(VLOOKUP(C1250,Tabela1[#All],11,0)*E1250),AND("Venda de produtos",H1250="Norte/Centro-Oeste"),(VLOOKUP(C1250,Tabela1[#All],13,0)*E1250))))))</f>
        <v/>
      </c>
      <c r="G1250" s="16" t="str">
        <f>IF(B1250="Compra de estoque",VLOOKUP(C1250,Tabela1[#All],4,0)*E1250,"")</f>
        <v/>
      </c>
      <c r="H1250" s="16"/>
    </row>
    <row r="1251" spans="4:8" x14ac:dyDescent="0.25">
      <c r="D1251" s="15" t="str">
        <f>IF(C1251="","",VLOOKUP(C1251,Tabela1[#All],2,0))</f>
        <v/>
      </c>
      <c r="F1251" s="16" t="str" cm="1">
        <f t="array" ref="F1251">IF(B1251="","",(IF(B1251="Compra de estoque","",(_xlfn.IFS(AND(B1251="Venda de produtos",H1251="Sul/Sudeste"),(VLOOKUP(C1251,Tabela1[#All],9,0)*E1251),AND(B1251="Venda de produtos",H1251="Nordeste"),(VLOOKUP(C1251,Tabela1[#All],11,0)*E1251),AND("Venda de produtos",H1251="Norte/Centro-Oeste"),(VLOOKUP(C1251,Tabela1[#All],13,0)*E1251))))))</f>
        <v/>
      </c>
      <c r="G1251" s="16" t="str">
        <f>IF(B1251="Compra de estoque",VLOOKUP(C1251,Tabela1[#All],4,0)*E1251,"")</f>
        <v/>
      </c>
      <c r="H1251" s="16"/>
    </row>
    <row r="1252" spans="4:8" x14ac:dyDescent="0.25">
      <c r="D1252" s="15" t="str">
        <f>IF(C1252="","",VLOOKUP(C1252,Tabela1[#All],2,0))</f>
        <v/>
      </c>
      <c r="F1252" s="16" t="str" cm="1">
        <f t="array" ref="F1252">IF(B1252="","",(IF(B1252="Compra de estoque","",(_xlfn.IFS(AND(B1252="Venda de produtos",H1252="Sul/Sudeste"),(VLOOKUP(C1252,Tabela1[#All],9,0)*E1252),AND(B1252="Venda de produtos",H1252="Nordeste"),(VLOOKUP(C1252,Tabela1[#All],11,0)*E1252),AND("Venda de produtos",H1252="Norte/Centro-Oeste"),(VLOOKUP(C1252,Tabela1[#All],13,0)*E1252))))))</f>
        <v/>
      </c>
      <c r="G1252" s="16" t="str">
        <f>IF(B1252="Compra de estoque",VLOOKUP(C1252,Tabela1[#All],4,0)*E1252,"")</f>
        <v/>
      </c>
      <c r="H1252" s="16"/>
    </row>
    <row r="1253" spans="4:8" x14ac:dyDescent="0.25">
      <c r="D1253" s="15" t="str">
        <f>IF(C1253="","",VLOOKUP(C1253,Tabela1[#All],2,0))</f>
        <v/>
      </c>
      <c r="F1253" s="16" t="str" cm="1">
        <f t="array" ref="F1253">IF(B1253="","",(IF(B1253="Compra de estoque","",(_xlfn.IFS(AND(B1253="Venda de produtos",H1253="Sul/Sudeste"),(VLOOKUP(C1253,Tabela1[#All],9,0)*E1253),AND(B1253="Venda de produtos",H1253="Nordeste"),(VLOOKUP(C1253,Tabela1[#All],11,0)*E1253),AND("Venda de produtos",H1253="Norte/Centro-Oeste"),(VLOOKUP(C1253,Tabela1[#All],13,0)*E1253))))))</f>
        <v/>
      </c>
      <c r="G1253" s="16" t="str">
        <f>IF(B1253="Compra de estoque",VLOOKUP(C1253,Tabela1[#All],4,0)*E1253,"")</f>
        <v/>
      </c>
      <c r="H1253" s="16"/>
    </row>
    <row r="1254" spans="4:8" x14ac:dyDescent="0.25">
      <c r="D1254" s="15" t="str">
        <f>IF(C1254="","",VLOOKUP(C1254,Tabela1[#All],2,0))</f>
        <v/>
      </c>
      <c r="F1254" s="16" t="str" cm="1">
        <f t="array" ref="F1254">IF(B1254="","",(IF(B1254="Compra de estoque","",(_xlfn.IFS(AND(B1254="Venda de produtos",H1254="Sul/Sudeste"),(VLOOKUP(C1254,Tabela1[#All],9,0)*E1254),AND(B1254="Venda de produtos",H1254="Nordeste"),(VLOOKUP(C1254,Tabela1[#All],11,0)*E1254),AND("Venda de produtos",H1254="Norte/Centro-Oeste"),(VLOOKUP(C1254,Tabela1[#All],13,0)*E1254))))))</f>
        <v/>
      </c>
      <c r="G1254" s="16" t="str">
        <f>IF(B1254="Compra de estoque",VLOOKUP(C1254,Tabela1[#All],4,0)*E1254,"")</f>
        <v/>
      </c>
      <c r="H1254" s="16"/>
    </row>
    <row r="1255" spans="4:8" x14ac:dyDescent="0.25">
      <c r="D1255" s="15" t="str">
        <f>IF(C1255="","",VLOOKUP(C1255,Tabela1[#All],2,0))</f>
        <v/>
      </c>
      <c r="F1255" s="16" t="str" cm="1">
        <f t="array" ref="F1255">IF(B1255="","",(IF(B1255="Compra de estoque","",(_xlfn.IFS(AND(B1255="Venda de produtos",H1255="Sul/Sudeste"),(VLOOKUP(C1255,Tabela1[#All],9,0)*E1255),AND(B1255="Venda de produtos",H1255="Nordeste"),(VLOOKUP(C1255,Tabela1[#All],11,0)*E1255),AND("Venda de produtos",H1255="Norte/Centro-Oeste"),(VLOOKUP(C1255,Tabela1[#All],13,0)*E1255))))))</f>
        <v/>
      </c>
      <c r="G1255" s="16" t="str">
        <f>IF(B1255="Compra de estoque",VLOOKUP(C1255,Tabela1[#All],4,0)*E1255,"")</f>
        <v/>
      </c>
      <c r="H1255" s="16"/>
    </row>
    <row r="1256" spans="4:8" x14ac:dyDescent="0.25">
      <c r="D1256" s="15" t="str">
        <f>IF(C1256="","",VLOOKUP(C1256,Tabela1[#All],2,0))</f>
        <v/>
      </c>
      <c r="F1256" s="16" t="str" cm="1">
        <f t="array" ref="F1256">IF(B1256="","",(IF(B1256="Compra de estoque","",(_xlfn.IFS(AND(B1256="Venda de produtos",H1256="Sul/Sudeste"),(VLOOKUP(C1256,Tabela1[#All],9,0)*E1256),AND(B1256="Venda de produtos",H1256="Nordeste"),(VLOOKUP(C1256,Tabela1[#All],11,0)*E1256),AND("Venda de produtos",H1256="Norte/Centro-Oeste"),(VLOOKUP(C1256,Tabela1[#All],13,0)*E1256))))))</f>
        <v/>
      </c>
      <c r="G1256" s="16" t="str">
        <f>IF(B1256="Compra de estoque",VLOOKUP(C1256,Tabela1[#All],4,0)*E1256,"")</f>
        <v/>
      </c>
      <c r="H1256" s="16"/>
    </row>
    <row r="1257" spans="4:8" x14ac:dyDescent="0.25">
      <c r="D1257" s="15" t="str">
        <f>IF(C1257="","",VLOOKUP(C1257,Tabela1[#All],2,0))</f>
        <v/>
      </c>
      <c r="F1257" s="16" t="str" cm="1">
        <f t="array" ref="F1257">IF(B1257="","",(IF(B1257="Compra de estoque","",(_xlfn.IFS(AND(B1257="Venda de produtos",H1257="Sul/Sudeste"),(VLOOKUP(C1257,Tabela1[#All],9,0)*E1257),AND(B1257="Venda de produtos",H1257="Nordeste"),(VLOOKUP(C1257,Tabela1[#All],11,0)*E1257),AND("Venda de produtos",H1257="Norte/Centro-Oeste"),(VLOOKUP(C1257,Tabela1[#All],13,0)*E1257))))))</f>
        <v/>
      </c>
      <c r="G1257" s="16" t="str">
        <f>IF(B1257="Compra de estoque",VLOOKUP(C1257,Tabela1[#All],4,0)*E1257,"")</f>
        <v/>
      </c>
      <c r="H1257" s="16"/>
    </row>
    <row r="1258" spans="4:8" x14ac:dyDescent="0.25">
      <c r="D1258" s="15" t="str">
        <f>IF(C1258="","",VLOOKUP(C1258,Tabela1[#All],2,0))</f>
        <v/>
      </c>
      <c r="F1258" s="16" t="str" cm="1">
        <f t="array" ref="F1258">IF(B1258="","",(IF(B1258="Compra de estoque","",(_xlfn.IFS(AND(B1258="Venda de produtos",H1258="Sul/Sudeste"),(VLOOKUP(C1258,Tabela1[#All],9,0)*E1258),AND(B1258="Venda de produtos",H1258="Nordeste"),(VLOOKUP(C1258,Tabela1[#All],11,0)*E1258),AND("Venda de produtos",H1258="Norte/Centro-Oeste"),(VLOOKUP(C1258,Tabela1[#All],13,0)*E1258))))))</f>
        <v/>
      </c>
      <c r="G1258" s="16" t="str">
        <f>IF(B1258="Compra de estoque",VLOOKUP(C1258,Tabela1[#All],4,0)*E1258,"")</f>
        <v/>
      </c>
      <c r="H1258" s="16"/>
    </row>
    <row r="1259" spans="4:8" x14ac:dyDescent="0.25">
      <c r="D1259" s="15" t="str">
        <f>IF(C1259="","",VLOOKUP(C1259,Tabela1[#All],2,0))</f>
        <v/>
      </c>
      <c r="F1259" s="16" t="str" cm="1">
        <f t="array" ref="F1259">IF(B1259="","",(IF(B1259="Compra de estoque","",(_xlfn.IFS(AND(B1259="Venda de produtos",H1259="Sul/Sudeste"),(VLOOKUP(C1259,Tabela1[#All],9,0)*E1259),AND(B1259="Venda de produtos",H1259="Nordeste"),(VLOOKUP(C1259,Tabela1[#All],11,0)*E1259),AND("Venda de produtos",H1259="Norte/Centro-Oeste"),(VLOOKUP(C1259,Tabela1[#All],13,0)*E1259))))))</f>
        <v/>
      </c>
      <c r="G1259" s="16" t="str">
        <f>IF(B1259="Compra de estoque",VLOOKUP(C1259,Tabela1[#All],4,0)*E1259,"")</f>
        <v/>
      </c>
      <c r="H1259" s="16"/>
    </row>
    <row r="1260" spans="4:8" x14ac:dyDescent="0.25">
      <c r="D1260" s="15" t="str">
        <f>IF(C1260="","",VLOOKUP(C1260,Tabela1[#All],2,0))</f>
        <v/>
      </c>
      <c r="F1260" s="16" t="str" cm="1">
        <f t="array" ref="F1260">IF(B1260="","",(IF(B1260="Compra de estoque","",(_xlfn.IFS(AND(B1260="Venda de produtos",H1260="Sul/Sudeste"),(VLOOKUP(C1260,Tabela1[#All],9,0)*E1260),AND(B1260="Venda de produtos",H1260="Nordeste"),(VLOOKUP(C1260,Tabela1[#All],11,0)*E1260),AND("Venda de produtos",H1260="Norte/Centro-Oeste"),(VLOOKUP(C1260,Tabela1[#All],13,0)*E1260))))))</f>
        <v/>
      </c>
      <c r="G1260" s="16" t="str">
        <f>IF(B1260="Compra de estoque",VLOOKUP(C1260,Tabela1[#All],4,0)*E1260,"")</f>
        <v/>
      </c>
      <c r="H1260" s="16"/>
    </row>
    <row r="1261" spans="4:8" x14ac:dyDescent="0.25">
      <c r="D1261" s="15" t="str">
        <f>IF(C1261="","",VLOOKUP(C1261,Tabela1[#All],2,0))</f>
        <v/>
      </c>
      <c r="F1261" s="16" t="str" cm="1">
        <f t="array" ref="F1261">IF(B1261="","",(IF(B1261="Compra de estoque","",(_xlfn.IFS(AND(B1261="Venda de produtos",H1261="Sul/Sudeste"),(VLOOKUP(C1261,Tabela1[#All],9,0)*E1261),AND(B1261="Venda de produtos",H1261="Nordeste"),(VLOOKUP(C1261,Tabela1[#All],11,0)*E1261),AND("Venda de produtos",H1261="Norte/Centro-Oeste"),(VLOOKUP(C1261,Tabela1[#All],13,0)*E1261))))))</f>
        <v/>
      </c>
      <c r="G1261" s="16" t="str">
        <f>IF(B1261="Compra de estoque",VLOOKUP(C1261,Tabela1[#All],4,0)*E1261,"")</f>
        <v/>
      </c>
      <c r="H1261" s="16"/>
    </row>
    <row r="1262" spans="4:8" x14ac:dyDescent="0.25">
      <c r="D1262" s="15" t="str">
        <f>IF(C1262="","",VLOOKUP(C1262,Tabela1[#All],2,0))</f>
        <v/>
      </c>
      <c r="F1262" s="16" t="str" cm="1">
        <f t="array" ref="F1262">IF(B1262="","",(IF(B1262="Compra de estoque","",(_xlfn.IFS(AND(B1262="Venda de produtos",H1262="Sul/Sudeste"),(VLOOKUP(C1262,Tabela1[#All],9,0)*E1262),AND(B1262="Venda de produtos",H1262="Nordeste"),(VLOOKUP(C1262,Tabela1[#All],11,0)*E1262),AND("Venda de produtos",H1262="Norte/Centro-Oeste"),(VLOOKUP(C1262,Tabela1[#All],13,0)*E1262))))))</f>
        <v/>
      </c>
      <c r="G1262" s="16" t="str">
        <f>IF(B1262="Compra de estoque",VLOOKUP(C1262,Tabela1[#All],4,0)*E1262,"")</f>
        <v/>
      </c>
      <c r="H1262" s="16"/>
    </row>
    <row r="1263" spans="4:8" x14ac:dyDescent="0.25">
      <c r="D1263" s="15" t="str">
        <f>IF(C1263="","",VLOOKUP(C1263,Tabela1[#All],2,0))</f>
        <v/>
      </c>
      <c r="F1263" s="16" t="str" cm="1">
        <f t="array" ref="F1263">IF(B1263="","",(IF(B1263="Compra de estoque","",(_xlfn.IFS(AND(B1263="Venda de produtos",H1263="Sul/Sudeste"),(VLOOKUP(C1263,Tabela1[#All],9,0)*E1263),AND(B1263="Venda de produtos",H1263="Nordeste"),(VLOOKUP(C1263,Tabela1[#All],11,0)*E1263),AND("Venda de produtos",H1263="Norte/Centro-Oeste"),(VLOOKUP(C1263,Tabela1[#All],13,0)*E1263))))))</f>
        <v/>
      </c>
      <c r="G1263" s="16" t="str">
        <f>IF(B1263="Compra de estoque",VLOOKUP(C1263,Tabela1[#All],4,0)*E1263,"")</f>
        <v/>
      </c>
      <c r="H1263" s="16"/>
    </row>
    <row r="1264" spans="4:8" x14ac:dyDescent="0.25">
      <c r="D1264" s="15" t="str">
        <f>IF(C1264="","",VLOOKUP(C1264,Tabela1[#All],2,0))</f>
        <v/>
      </c>
      <c r="F1264" s="16" t="str" cm="1">
        <f t="array" ref="F1264">IF(B1264="","",(IF(B1264="Compra de estoque","",(_xlfn.IFS(AND(B1264="Venda de produtos",H1264="Sul/Sudeste"),(VLOOKUP(C1264,Tabela1[#All],9,0)*E1264),AND(B1264="Venda de produtos",H1264="Nordeste"),(VLOOKUP(C1264,Tabela1[#All],11,0)*E1264),AND("Venda de produtos",H1264="Norte/Centro-Oeste"),(VLOOKUP(C1264,Tabela1[#All],13,0)*E1264))))))</f>
        <v/>
      </c>
      <c r="G1264" s="16" t="str">
        <f>IF(B1264="Compra de estoque",VLOOKUP(C1264,Tabela1[#All],4,0)*E1264,"")</f>
        <v/>
      </c>
      <c r="H1264" s="16"/>
    </row>
    <row r="1265" spans="4:8" x14ac:dyDescent="0.25">
      <c r="D1265" s="15" t="str">
        <f>IF(C1265="","",VLOOKUP(C1265,Tabela1[#All],2,0))</f>
        <v/>
      </c>
      <c r="F1265" s="16" t="str" cm="1">
        <f t="array" ref="F1265">IF(B1265="","",(IF(B1265="Compra de estoque","",(_xlfn.IFS(AND(B1265="Venda de produtos",H1265="Sul/Sudeste"),(VLOOKUP(C1265,Tabela1[#All],9,0)*E1265),AND(B1265="Venda de produtos",H1265="Nordeste"),(VLOOKUP(C1265,Tabela1[#All],11,0)*E1265),AND("Venda de produtos",H1265="Norte/Centro-Oeste"),(VLOOKUP(C1265,Tabela1[#All],13,0)*E1265))))))</f>
        <v/>
      </c>
      <c r="G1265" s="16" t="str">
        <f>IF(B1265="Compra de estoque",VLOOKUP(C1265,Tabela1[#All],4,0)*E1265,"")</f>
        <v/>
      </c>
      <c r="H1265" s="16"/>
    </row>
    <row r="1266" spans="4:8" x14ac:dyDescent="0.25">
      <c r="D1266" s="15" t="str">
        <f>IF(C1266="","",VLOOKUP(C1266,Tabela1[#All],2,0))</f>
        <v/>
      </c>
      <c r="F1266" s="16" t="str" cm="1">
        <f t="array" ref="F1266">IF(B1266="","",(IF(B1266="Compra de estoque","",(_xlfn.IFS(AND(B1266="Venda de produtos",H1266="Sul/Sudeste"),(VLOOKUP(C1266,Tabela1[#All],9,0)*E1266),AND(B1266="Venda de produtos",H1266="Nordeste"),(VLOOKUP(C1266,Tabela1[#All],11,0)*E1266),AND("Venda de produtos",H1266="Norte/Centro-Oeste"),(VLOOKUP(C1266,Tabela1[#All],13,0)*E1266))))))</f>
        <v/>
      </c>
      <c r="G1266" s="16" t="str">
        <f>IF(B1266="Compra de estoque",VLOOKUP(C1266,Tabela1[#All],4,0)*E1266,"")</f>
        <v/>
      </c>
      <c r="H1266" s="16"/>
    </row>
    <row r="1267" spans="4:8" x14ac:dyDescent="0.25">
      <c r="D1267" s="15" t="str">
        <f>IF(C1267="","",VLOOKUP(C1267,Tabela1[#All],2,0))</f>
        <v/>
      </c>
      <c r="F1267" s="16" t="str" cm="1">
        <f t="array" ref="F1267">IF(B1267="","",(IF(B1267="Compra de estoque","",(_xlfn.IFS(AND(B1267="Venda de produtos",H1267="Sul/Sudeste"),(VLOOKUP(C1267,Tabela1[#All],9,0)*E1267),AND(B1267="Venda de produtos",H1267="Nordeste"),(VLOOKUP(C1267,Tabela1[#All],11,0)*E1267),AND("Venda de produtos",H1267="Norte/Centro-Oeste"),(VLOOKUP(C1267,Tabela1[#All],13,0)*E1267))))))</f>
        <v/>
      </c>
      <c r="G1267" s="16" t="str">
        <f>IF(B1267="Compra de estoque",VLOOKUP(C1267,Tabela1[#All],4,0)*E1267,"")</f>
        <v/>
      </c>
      <c r="H1267" s="16"/>
    </row>
    <row r="1268" spans="4:8" x14ac:dyDescent="0.25">
      <c r="D1268" s="15" t="str">
        <f>IF(C1268="","",VLOOKUP(C1268,Tabela1[#All],2,0))</f>
        <v/>
      </c>
      <c r="F1268" s="16" t="str" cm="1">
        <f t="array" ref="F1268">IF(B1268="","",(IF(B1268="Compra de estoque","",(_xlfn.IFS(AND(B1268="Venda de produtos",H1268="Sul/Sudeste"),(VLOOKUP(C1268,Tabela1[#All],9,0)*E1268),AND(B1268="Venda de produtos",H1268="Nordeste"),(VLOOKUP(C1268,Tabela1[#All],11,0)*E1268),AND("Venda de produtos",H1268="Norte/Centro-Oeste"),(VLOOKUP(C1268,Tabela1[#All],13,0)*E1268))))))</f>
        <v/>
      </c>
      <c r="G1268" s="16" t="str">
        <f>IF(B1268="Compra de estoque",VLOOKUP(C1268,Tabela1[#All],4,0)*E1268,"")</f>
        <v/>
      </c>
      <c r="H1268" s="16"/>
    </row>
    <row r="1269" spans="4:8" x14ac:dyDescent="0.25">
      <c r="D1269" s="15" t="str">
        <f>IF(C1269="","",VLOOKUP(C1269,Tabela1[#All],2,0))</f>
        <v/>
      </c>
      <c r="F1269" s="16" t="str" cm="1">
        <f t="array" ref="F1269">IF(B1269="","",(IF(B1269="Compra de estoque","",(_xlfn.IFS(AND(B1269="Venda de produtos",H1269="Sul/Sudeste"),(VLOOKUP(C1269,Tabela1[#All],9,0)*E1269),AND(B1269="Venda de produtos",H1269="Nordeste"),(VLOOKUP(C1269,Tabela1[#All],11,0)*E1269),AND("Venda de produtos",H1269="Norte/Centro-Oeste"),(VLOOKUP(C1269,Tabela1[#All],13,0)*E1269))))))</f>
        <v/>
      </c>
      <c r="G1269" s="16" t="str">
        <f>IF(B1269="Compra de estoque",VLOOKUP(C1269,Tabela1[#All],4,0)*E1269,"")</f>
        <v/>
      </c>
      <c r="H1269" s="16"/>
    </row>
    <row r="1270" spans="4:8" x14ac:dyDescent="0.25">
      <c r="D1270" s="15" t="str">
        <f>IF(C1270="","",VLOOKUP(C1270,Tabela1[#All],2,0))</f>
        <v/>
      </c>
      <c r="F1270" s="16" t="str" cm="1">
        <f t="array" ref="F1270">IF(B1270="","",(IF(B1270="Compra de estoque","",(_xlfn.IFS(AND(B1270="Venda de produtos",H1270="Sul/Sudeste"),(VLOOKUP(C1270,Tabela1[#All],9,0)*E1270),AND(B1270="Venda de produtos",H1270="Nordeste"),(VLOOKUP(C1270,Tabela1[#All],11,0)*E1270),AND("Venda de produtos",H1270="Norte/Centro-Oeste"),(VLOOKUP(C1270,Tabela1[#All],13,0)*E1270))))))</f>
        <v/>
      </c>
      <c r="G1270" s="16" t="str">
        <f>IF(B1270="Compra de estoque",VLOOKUP(C1270,Tabela1[#All],4,0)*E1270,"")</f>
        <v/>
      </c>
      <c r="H1270" s="16"/>
    </row>
    <row r="1271" spans="4:8" x14ac:dyDescent="0.25">
      <c r="D1271" s="15" t="str">
        <f>IF(C1271="","",VLOOKUP(C1271,Tabela1[#All],2,0))</f>
        <v/>
      </c>
      <c r="F1271" s="16" t="str" cm="1">
        <f t="array" ref="F1271">IF(B1271="","",(IF(B1271="Compra de estoque","",(_xlfn.IFS(AND(B1271="Venda de produtos",H1271="Sul/Sudeste"),(VLOOKUP(C1271,Tabela1[#All],9,0)*E1271),AND(B1271="Venda de produtos",H1271="Nordeste"),(VLOOKUP(C1271,Tabela1[#All],11,0)*E1271),AND("Venda de produtos",H1271="Norte/Centro-Oeste"),(VLOOKUP(C1271,Tabela1[#All],13,0)*E1271))))))</f>
        <v/>
      </c>
      <c r="G1271" s="16" t="str">
        <f>IF(B1271="Compra de estoque",VLOOKUP(C1271,Tabela1[#All],4,0)*E1271,"")</f>
        <v/>
      </c>
      <c r="H1271" s="16"/>
    </row>
    <row r="1272" spans="4:8" x14ac:dyDescent="0.25">
      <c r="D1272" s="15" t="str">
        <f>IF(C1272="","",VLOOKUP(C1272,Tabela1[#All],2,0))</f>
        <v/>
      </c>
      <c r="F1272" s="16" t="str" cm="1">
        <f t="array" ref="F1272">IF(B1272="","",(IF(B1272="Compra de estoque","",(_xlfn.IFS(AND(B1272="Venda de produtos",H1272="Sul/Sudeste"),(VLOOKUP(C1272,Tabela1[#All],9,0)*E1272),AND(B1272="Venda de produtos",H1272="Nordeste"),(VLOOKUP(C1272,Tabela1[#All],11,0)*E1272),AND("Venda de produtos",H1272="Norte/Centro-Oeste"),(VLOOKUP(C1272,Tabela1[#All],13,0)*E1272))))))</f>
        <v/>
      </c>
      <c r="G1272" s="16" t="str">
        <f>IF(B1272="Compra de estoque",VLOOKUP(C1272,Tabela1[#All],4,0)*E1272,"")</f>
        <v/>
      </c>
      <c r="H1272" s="16"/>
    </row>
    <row r="1273" spans="4:8" x14ac:dyDescent="0.25">
      <c r="D1273" s="15" t="str">
        <f>IF(C1273="","",VLOOKUP(C1273,Tabela1[#All],2,0))</f>
        <v/>
      </c>
      <c r="F1273" s="16" t="str" cm="1">
        <f t="array" ref="F1273">IF(B1273="","",(IF(B1273="Compra de estoque","",(_xlfn.IFS(AND(B1273="Venda de produtos",H1273="Sul/Sudeste"),(VLOOKUP(C1273,Tabela1[#All],9,0)*E1273),AND(B1273="Venda de produtos",H1273="Nordeste"),(VLOOKUP(C1273,Tabela1[#All],11,0)*E1273),AND("Venda de produtos",H1273="Norte/Centro-Oeste"),(VLOOKUP(C1273,Tabela1[#All],13,0)*E1273))))))</f>
        <v/>
      </c>
      <c r="G1273" s="16" t="str">
        <f>IF(B1273="Compra de estoque",VLOOKUP(C1273,Tabela1[#All],4,0)*E1273,"")</f>
        <v/>
      </c>
      <c r="H1273" s="16"/>
    </row>
    <row r="1274" spans="4:8" x14ac:dyDescent="0.25">
      <c r="D1274" s="15" t="str">
        <f>IF(C1274="","",VLOOKUP(C1274,Tabela1[#All],2,0))</f>
        <v/>
      </c>
      <c r="F1274" s="16" t="str" cm="1">
        <f t="array" ref="F1274">IF(B1274="","",(IF(B1274="Compra de estoque","",(_xlfn.IFS(AND(B1274="Venda de produtos",H1274="Sul/Sudeste"),(VLOOKUP(C1274,Tabela1[#All],9,0)*E1274),AND(B1274="Venda de produtos",H1274="Nordeste"),(VLOOKUP(C1274,Tabela1[#All],11,0)*E1274),AND("Venda de produtos",H1274="Norte/Centro-Oeste"),(VLOOKUP(C1274,Tabela1[#All],13,0)*E1274))))))</f>
        <v/>
      </c>
      <c r="G1274" s="16" t="str">
        <f>IF(B1274="Compra de estoque",VLOOKUP(C1274,Tabela1[#All],4,0)*E1274,"")</f>
        <v/>
      </c>
      <c r="H1274" s="16"/>
    </row>
    <row r="1275" spans="4:8" x14ac:dyDescent="0.25">
      <c r="D1275" s="15" t="str">
        <f>IF(C1275="","",VLOOKUP(C1275,Tabela1[#All],2,0))</f>
        <v/>
      </c>
      <c r="F1275" s="16" t="str" cm="1">
        <f t="array" ref="F1275">IF(B1275="","",(IF(B1275="Compra de estoque","",(_xlfn.IFS(AND(B1275="Venda de produtos",H1275="Sul/Sudeste"),(VLOOKUP(C1275,Tabela1[#All],9,0)*E1275),AND(B1275="Venda de produtos",H1275="Nordeste"),(VLOOKUP(C1275,Tabela1[#All],11,0)*E1275),AND("Venda de produtos",H1275="Norte/Centro-Oeste"),(VLOOKUP(C1275,Tabela1[#All],13,0)*E1275))))))</f>
        <v/>
      </c>
      <c r="G1275" s="16" t="str">
        <f>IF(B1275="Compra de estoque",VLOOKUP(C1275,Tabela1[#All],4,0)*E1275,"")</f>
        <v/>
      </c>
      <c r="H1275" s="16"/>
    </row>
    <row r="1276" spans="4:8" x14ac:dyDescent="0.25">
      <c r="D1276" s="15" t="str">
        <f>IF(C1276="","",VLOOKUP(C1276,Tabela1[#All],2,0))</f>
        <v/>
      </c>
      <c r="F1276" s="16" t="str" cm="1">
        <f t="array" ref="F1276">IF(B1276="","",(IF(B1276="Compra de estoque","",(_xlfn.IFS(AND(B1276="Venda de produtos",H1276="Sul/Sudeste"),(VLOOKUP(C1276,Tabela1[#All],9,0)*E1276),AND(B1276="Venda de produtos",H1276="Nordeste"),(VLOOKUP(C1276,Tabela1[#All],11,0)*E1276),AND("Venda de produtos",H1276="Norte/Centro-Oeste"),(VLOOKUP(C1276,Tabela1[#All],13,0)*E1276))))))</f>
        <v/>
      </c>
      <c r="G1276" s="16" t="str">
        <f>IF(B1276="Compra de estoque",VLOOKUP(C1276,Tabela1[#All],4,0)*E1276,"")</f>
        <v/>
      </c>
      <c r="H1276" s="16"/>
    </row>
    <row r="1277" spans="4:8" x14ac:dyDescent="0.25">
      <c r="D1277" s="15" t="str">
        <f>IF(C1277="","",VLOOKUP(C1277,Tabela1[#All],2,0))</f>
        <v/>
      </c>
      <c r="F1277" s="16" t="str" cm="1">
        <f t="array" ref="F1277">IF(B1277="","",(IF(B1277="Compra de estoque","",(_xlfn.IFS(AND(B1277="Venda de produtos",H1277="Sul/Sudeste"),(VLOOKUP(C1277,Tabela1[#All],9,0)*E1277),AND(B1277="Venda de produtos",H1277="Nordeste"),(VLOOKUP(C1277,Tabela1[#All],11,0)*E1277),AND("Venda de produtos",H1277="Norte/Centro-Oeste"),(VLOOKUP(C1277,Tabela1[#All],13,0)*E1277))))))</f>
        <v/>
      </c>
      <c r="G1277" s="16" t="str">
        <f>IF(B1277="Compra de estoque",VLOOKUP(C1277,Tabela1[#All],4,0)*E1277,"")</f>
        <v/>
      </c>
      <c r="H1277" s="16"/>
    </row>
    <row r="1278" spans="4:8" x14ac:dyDescent="0.25">
      <c r="D1278" s="15" t="str">
        <f>IF(C1278="","",VLOOKUP(C1278,Tabela1[#All],2,0))</f>
        <v/>
      </c>
      <c r="F1278" s="16" t="str" cm="1">
        <f t="array" ref="F1278">IF(B1278="","",(IF(B1278="Compra de estoque","",(_xlfn.IFS(AND(B1278="Venda de produtos",H1278="Sul/Sudeste"),(VLOOKUP(C1278,Tabela1[#All],9,0)*E1278),AND(B1278="Venda de produtos",H1278="Nordeste"),(VLOOKUP(C1278,Tabela1[#All],11,0)*E1278),AND("Venda de produtos",H1278="Norte/Centro-Oeste"),(VLOOKUP(C1278,Tabela1[#All],13,0)*E1278))))))</f>
        <v/>
      </c>
      <c r="G1278" s="16" t="str">
        <f>IF(B1278="Compra de estoque",VLOOKUP(C1278,Tabela1[#All],4,0)*E1278,"")</f>
        <v/>
      </c>
      <c r="H1278" s="16"/>
    </row>
    <row r="1279" spans="4:8" x14ac:dyDescent="0.25">
      <c r="D1279" s="15" t="str">
        <f>IF(C1279="","",VLOOKUP(C1279,Tabela1[#All],2,0))</f>
        <v/>
      </c>
      <c r="F1279" s="16" t="str" cm="1">
        <f t="array" ref="F1279">IF(B1279="","",(IF(B1279="Compra de estoque","",(_xlfn.IFS(AND(B1279="Venda de produtos",H1279="Sul/Sudeste"),(VLOOKUP(C1279,Tabela1[#All],9,0)*E1279),AND(B1279="Venda de produtos",H1279="Nordeste"),(VLOOKUP(C1279,Tabela1[#All],11,0)*E1279),AND("Venda de produtos",H1279="Norte/Centro-Oeste"),(VLOOKUP(C1279,Tabela1[#All],13,0)*E1279))))))</f>
        <v/>
      </c>
      <c r="G1279" s="16" t="str">
        <f>IF(B1279="Compra de estoque",VLOOKUP(C1279,Tabela1[#All],4,0)*E1279,"")</f>
        <v/>
      </c>
      <c r="H1279" s="16"/>
    </row>
    <row r="1280" spans="4:8" x14ac:dyDescent="0.25">
      <c r="D1280" s="15" t="str">
        <f>IF(C1280="","",VLOOKUP(C1280,Tabela1[#All],2,0))</f>
        <v/>
      </c>
      <c r="F1280" s="16" t="str" cm="1">
        <f t="array" ref="F1280">IF(B1280="","",(IF(B1280="Compra de estoque","",(_xlfn.IFS(AND(B1280="Venda de produtos",H1280="Sul/Sudeste"),(VLOOKUP(C1280,Tabela1[#All],9,0)*E1280),AND(B1280="Venda de produtos",H1280="Nordeste"),(VLOOKUP(C1280,Tabela1[#All],11,0)*E1280),AND("Venda de produtos",H1280="Norte/Centro-Oeste"),(VLOOKUP(C1280,Tabela1[#All],13,0)*E1280))))))</f>
        <v/>
      </c>
      <c r="G1280" s="16" t="str">
        <f>IF(B1280="Compra de estoque",VLOOKUP(C1280,Tabela1[#All],4,0)*E1280,"")</f>
        <v/>
      </c>
      <c r="H1280" s="16"/>
    </row>
    <row r="1281" spans="4:8" x14ac:dyDescent="0.25">
      <c r="D1281" s="15" t="str">
        <f>IF(C1281="","",VLOOKUP(C1281,Tabela1[#All],2,0))</f>
        <v/>
      </c>
      <c r="F1281" s="16" t="str" cm="1">
        <f t="array" ref="F1281">IF(B1281="","",(IF(B1281="Compra de estoque","",(_xlfn.IFS(AND(B1281="Venda de produtos",H1281="Sul/Sudeste"),(VLOOKUP(C1281,Tabela1[#All],9,0)*E1281),AND(B1281="Venda de produtos",H1281="Nordeste"),(VLOOKUP(C1281,Tabela1[#All],11,0)*E1281),AND("Venda de produtos",H1281="Norte/Centro-Oeste"),(VLOOKUP(C1281,Tabela1[#All],13,0)*E1281))))))</f>
        <v/>
      </c>
      <c r="G1281" s="16" t="str">
        <f>IF(B1281="Compra de estoque",VLOOKUP(C1281,Tabela1[#All],4,0)*E1281,"")</f>
        <v/>
      </c>
      <c r="H1281" s="16"/>
    </row>
    <row r="1282" spans="4:8" x14ac:dyDescent="0.25">
      <c r="D1282" s="15" t="str">
        <f>IF(C1282="","",VLOOKUP(C1282,Tabela1[#All],2,0))</f>
        <v/>
      </c>
      <c r="F1282" s="16" t="str" cm="1">
        <f t="array" ref="F1282">IF(B1282="","",(IF(B1282="Compra de estoque","",(_xlfn.IFS(AND(B1282="Venda de produtos",H1282="Sul/Sudeste"),(VLOOKUP(C1282,Tabela1[#All],9,0)*E1282),AND(B1282="Venda de produtos",H1282="Nordeste"),(VLOOKUP(C1282,Tabela1[#All],11,0)*E1282),AND("Venda de produtos",H1282="Norte/Centro-Oeste"),(VLOOKUP(C1282,Tabela1[#All],13,0)*E1282))))))</f>
        <v/>
      </c>
      <c r="G1282" s="16" t="str">
        <f>IF(B1282="Compra de estoque",VLOOKUP(C1282,Tabela1[#All],4,0)*E1282,"")</f>
        <v/>
      </c>
      <c r="H1282" s="16"/>
    </row>
    <row r="1283" spans="4:8" x14ac:dyDescent="0.25">
      <c r="D1283" s="15" t="str">
        <f>IF(C1283="","",VLOOKUP(C1283,Tabela1[#All],2,0))</f>
        <v/>
      </c>
      <c r="F1283" s="16" t="str" cm="1">
        <f t="array" ref="F1283">IF(B1283="","",(IF(B1283="Compra de estoque","",(_xlfn.IFS(AND(B1283="Venda de produtos",H1283="Sul/Sudeste"),(VLOOKUP(C1283,Tabela1[#All],9,0)*E1283),AND(B1283="Venda de produtos",H1283="Nordeste"),(VLOOKUP(C1283,Tabela1[#All],11,0)*E1283),AND("Venda de produtos",H1283="Norte/Centro-Oeste"),(VLOOKUP(C1283,Tabela1[#All],13,0)*E1283))))))</f>
        <v/>
      </c>
      <c r="G1283" s="16" t="str">
        <f>IF(B1283="Compra de estoque",VLOOKUP(C1283,Tabela1[#All],4,0)*E1283,"")</f>
        <v/>
      </c>
      <c r="H1283" s="16"/>
    </row>
    <row r="1284" spans="4:8" x14ac:dyDescent="0.25">
      <c r="D1284" s="15" t="str">
        <f>IF(C1284="","",VLOOKUP(C1284,Tabela1[#All],2,0))</f>
        <v/>
      </c>
      <c r="F1284" s="16" t="str" cm="1">
        <f t="array" ref="F1284">IF(B1284="","",(IF(B1284="Compra de estoque","",(_xlfn.IFS(AND(B1284="Venda de produtos",H1284="Sul/Sudeste"),(VLOOKUP(C1284,Tabela1[#All],9,0)*E1284),AND(B1284="Venda de produtos",H1284="Nordeste"),(VLOOKUP(C1284,Tabela1[#All],11,0)*E1284),AND("Venda de produtos",H1284="Norte/Centro-Oeste"),(VLOOKUP(C1284,Tabela1[#All],13,0)*E1284))))))</f>
        <v/>
      </c>
      <c r="G1284" s="16" t="str">
        <f>IF(B1284="Compra de estoque",VLOOKUP(C1284,Tabela1[#All],4,0)*E1284,"")</f>
        <v/>
      </c>
      <c r="H1284" s="16"/>
    </row>
    <row r="1285" spans="4:8" x14ac:dyDescent="0.25">
      <c r="D1285" s="15" t="str">
        <f>IF(C1285="","",VLOOKUP(C1285,Tabela1[#All],2,0))</f>
        <v/>
      </c>
      <c r="F1285" s="16" t="str" cm="1">
        <f t="array" ref="F1285">IF(B1285="","",(IF(B1285="Compra de estoque","",(_xlfn.IFS(AND(B1285="Venda de produtos",H1285="Sul/Sudeste"),(VLOOKUP(C1285,Tabela1[#All],9,0)*E1285),AND(B1285="Venda de produtos",H1285="Nordeste"),(VLOOKUP(C1285,Tabela1[#All],11,0)*E1285),AND("Venda de produtos",H1285="Norte/Centro-Oeste"),(VLOOKUP(C1285,Tabela1[#All],13,0)*E1285))))))</f>
        <v/>
      </c>
      <c r="G1285" s="16" t="str">
        <f>IF(B1285="Compra de estoque",VLOOKUP(C1285,Tabela1[#All],4,0)*E1285,"")</f>
        <v/>
      </c>
      <c r="H1285" s="16"/>
    </row>
    <row r="1286" spans="4:8" x14ac:dyDescent="0.25">
      <c r="D1286" s="15" t="str">
        <f>IF(C1286="","",VLOOKUP(C1286,Tabela1[#All],2,0))</f>
        <v/>
      </c>
      <c r="F1286" s="16" t="str" cm="1">
        <f t="array" ref="F1286">IF(B1286="","",(IF(B1286="Compra de estoque","",(_xlfn.IFS(AND(B1286="Venda de produtos",H1286="Sul/Sudeste"),(VLOOKUP(C1286,Tabela1[#All],9,0)*E1286),AND(B1286="Venda de produtos",H1286="Nordeste"),(VLOOKUP(C1286,Tabela1[#All],11,0)*E1286),AND("Venda de produtos",H1286="Norte/Centro-Oeste"),(VLOOKUP(C1286,Tabela1[#All],13,0)*E1286))))))</f>
        <v/>
      </c>
      <c r="G1286" s="16" t="str">
        <f>IF(B1286="Compra de estoque",VLOOKUP(C1286,Tabela1[#All],4,0)*E1286,"")</f>
        <v/>
      </c>
      <c r="H1286" s="16"/>
    </row>
    <row r="1287" spans="4:8" x14ac:dyDescent="0.25">
      <c r="D1287" s="15" t="str">
        <f>IF(C1287="","",VLOOKUP(C1287,Tabela1[#All],2,0))</f>
        <v/>
      </c>
      <c r="F1287" s="16" t="str" cm="1">
        <f t="array" ref="F1287">IF(B1287="","",(IF(B1287="Compra de estoque","",(_xlfn.IFS(AND(B1287="Venda de produtos",H1287="Sul/Sudeste"),(VLOOKUP(C1287,Tabela1[#All],9,0)*E1287),AND(B1287="Venda de produtos",H1287="Nordeste"),(VLOOKUP(C1287,Tabela1[#All],11,0)*E1287),AND("Venda de produtos",H1287="Norte/Centro-Oeste"),(VLOOKUP(C1287,Tabela1[#All],13,0)*E1287))))))</f>
        <v/>
      </c>
      <c r="G1287" s="16" t="str">
        <f>IF(B1287="Compra de estoque",VLOOKUP(C1287,Tabela1[#All],4,0)*E1287,"")</f>
        <v/>
      </c>
      <c r="H1287" s="16"/>
    </row>
    <row r="1288" spans="4:8" x14ac:dyDescent="0.25">
      <c r="D1288" s="15" t="str">
        <f>IF(C1288="","",VLOOKUP(C1288,Tabela1[#All],2,0))</f>
        <v/>
      </c>
      <c r="F1288" s="16" t="str" cm="1">
        <f t="array" ref="F1288">IF(B1288="","",(IF(B1288="Compra de estoque","",(_xlfn.IFS(AND(B1288="Venda de produtos",H1288="Sul/Sudeste"),(VLOOKUP(C1288,Tabela1[#All],9,0)*E1288),AND(B1288="Venda de produtos",H1288="Nordeste"),(VLOOKUP(C1288,Tabela1[#All],11,0)*E1288),AND("Venda de produtos",H1288="Norte/Centro-Oeste"),(VLOOKUP(C1288,Tabela1[#All],13,0)*E1288))))))</f>
        <v/>
      </c>
      <c r="G1288" s="16" t="str">
        <f>IF(B1288="Compra de estoque",VLOOKUP(C1288,Tabela1[#All],4,0)*E1288,"")</f>
        <v/>
      </c>
      <c r="H1288" s="16"/>
    </row>
    <row r="1289" spans="4:8" x14ac:dyDescent="0.25">
      <c r="D1289" s="15" t="str">
        <f>IF(C1289="","",VLOOKUP(C1289,Tabela1[#All],2,0))</f>
        <v/>
      </c>
      <c r="F1289" s="16" t="str" cm="1">
        <f t="array" ref="F1289">IF(B1289="","",(IF(B1289="Compra de estoque","",(_xlfn.IFS(AND(B1289="Venda de produtos",H1289="Sul/Sudeste"),(VLOOKUP(C1289,Tabela1[#All],9,0)*E1289),AND(B1289="Venda de produtos",H1289="Nordeste"),(VLOOKUP(C1289,Tabela1[#All],11,0)*E1289),AND("Venda de produtos",H1289="Norte/Centro-Oeste"),(VLOOKUP(C1289,Tabela1[#All],13,0)*E1289))))))</f>
        <v/>
      </c>
      <c r="G1289" s="16" t="str">
        <f>IF(B1289="Compra de estoque",VLOOKUP(C1289,Tabela1[#All],4,0)*E1289,"")</f>
        <v/>
      </c>
      <c r="H1289" s="16"/>
    </row>
    <row r="1290" spans="4:8" x14ac:dyDescent="0.25">
      <c r="D1290" s="15" t="str">
        <f>IF(C1290="","",VLOOKUP(C1290,Tabela1[#All],2,0))</f>
        <v/>
      </c>
      <c r="F1290" s="16" t="str" cm="1">
        <f t="array" ref="F1290">IF(B1290="","",(IF(B1290="Compra de estoque","",(_xlfn.IFS(AND(B1290="Venda de produtos",H1290="Sul/Sudeste"),(VLOOKUP(C1290,Tabela1[#All],9,0)*E1290),AND(B1290="Venda de produtos",H1290="Nordeste"),(VLOOKUP(C1290,Tabela1[#All],11,0)*E1290),AND("Venda de produtos",H1290="Norte/Centro-Oeste"),(VLOOKUP(C1290,Tabela1[#All],13,0)*E1290))))))</f>
        <v/>
      </c>
      <c r="G1290" s="16" t="str">
        <f>IF(B1290="Compra de estoque",VLOOKUP(C1290,Tabela1[#All],4,0)*E1290,"")</f>
        <v/>
      </c>
      <c r="H1290" s="16"/>
    </row>
    <row r="1291" spans="4:8" x14ac:dyDescent="0.25">
      <c r="D1291" s="15" t="str">
        <f>IF(C1291="","",VLOOKUP(C1291,Tabela1[#All],2,0))</f>
        <v/>
      </c>
      <c r="F1291" s="16" t="str" cm="1">
        <f t="array" ref="F1291">IF(B1291="","",(IF(B1291="Compra de estoque","",(_xlfn.IFS(AND(B1291="Venda de produtos",H1291="Sul/Sudeste"),(VLOOKUP(C1291,Tabela1[#All],9,0)*E1291),AND(B1291="Venda de produtos",H1291="Nordeste"),(VLOOKUP(C1291,Tabela1[#All],11,0)*E1291),AND("Venda de produtos",H1291="Norte/Centro-Oeste"),(VLOOKUP(C1291,Tabela1[#All],13,0)*E1291))))))</f>
        <v/>
      </c>
      <c r="G1291" s="16" t="str">
        <f>IF(B1291="Compra de estoque",VLOOKUP(C1291,Tabela1[#All],4,0)*E1291,"")</f>
        <v/>
      </c>
      <c r="H1291" s="16"/>
    </row>
    <row r="1292" spans="4:8" x14ac:dyDescent="0.25">
      <c r="D1292" s="15" t="str">
        <f>IF(C1292="","",VLOOKUP(C1292,Tabela1[#All],2,0))</f>
        <v/>
      </c>
      <c r="F1292" s="16" t="str" cm="1">
        <f t="array" ref="F1292">IF(B1292="","",(IF(B1292="Compra de estoque","",(_xlfn.IFS(AND(B1292="Venda de produtos",H1292="Sul/Sudeste"),(VLOOKUP(C1292,Tabela1[#All],9,0)*E1292),AND(B1292="Venda de produtos",H1292="Nordeste"),(VLOOKUP(C1292,Tabela1[#All],11,0)*E1292),AND("Venda de produtos",H1292="Norte/Centro-Oeste"),(VLOOKUP(C1292,Tabela1[#All],13,0)*E1292))))))</f>
        <v/>
      </c>
      <c r="G1292" s="16" t="str">
        <f>IF(B1292="Compra de estoque",VLOOKUP(C1292,Tabela1[#All],4,0)*E1292,"")</f>
        <v/>
      </c>
      <c r="H1292" s="16"/>
    </row>
    <row r="1293" spans="4:8" x14ac:dyDescent="0.25">
      <c r="D1293" s="15" t="str">
        <f>IF(C1293="","",VLOOKUP(C1293,Tabela1[#All],2,0))</f>
        <v/>
      </c>
      <c r="F1293" s="16" t="str" cm="1">
        <f t="array" ref="F1293">IF(B1293="","",(IF(B1293="Compra de estoque","",(_xlfn.IFS(AND(B1293="Venda de produtos",H1293="Sul/Sudeste"),(VLOOKUP(C1293,Tabela1[#All],9,0)*E1293),AND(B1293="Venda de produtos",H1293="Nordeste"),(VLOOKUP(C1293,Tabela1[#All],11,0)*E1293),AND("Venda de produtos",H1293="Norte/Centro-Oeste"),(VLOOKUP(C1293,Tabela1[#All],13,0)*E1293))))))</f>
        <v/>
      </c>
      <c r="G1293" s="16" t="str">
        <f>IF(B1293="Compra de estoque",VLOOKUP(C1293,Tabela1[#All],4,0)*E1293,"")</f>
        <v/>
      </c>
      <c r="H1293" s="16"/>
    </row>
    <row r="1294" spans="4:8" x14ac:dyDescent="0.25">
      <c r="D1294" s="15" t="str">
        <f>IF(C1294="","",VLOOKUP(C1294,Tabela1[#All],2,0))</f>
        <v/>
      </c>
      <c r="F1294" s="16" t="str" cm="1">
        <f t="array" ref="F1294">IF(B1294="","",(IF(B1294="Compra de estoque","",(_xlfn.IFS(AND(B1294="Venda de produtos",H1294="Sul/Sudeste"),(VLOOKUP(C1294,Tabela1[#All],9,0)*E1294),AND(B1294="Venda de produtos",H1294="Nordeste"),(VLOOKUP(C1294,Tabela1[#All],11,0)*E1294),AND("Venda de produtos",H1294="Norte/Centro-Oeste"),(VLOOKUP(C1294,Tabela1[#All],13,0)*E1294))))))</f>
        <v/>
      </c>
      <c r="G1294" s="16" t="str">
        <f>IF(B1294="Compra de estoque",VLOOKUP(C1294,Tabela1[#All],4,0)*E1294,"")</f>
        <v/>
      </c>
      <c r="H1294" s="16"/>
    </row>
    <row r="1295" spans="4:8" x14ac:dyDescent="0.25">
      <c r="D1295" s="15" t="str">
        <f>IF(C1295="","",VLOOKUP(C1295,Tabela1[#All],2,0))</f>
        <v/>
      </c>
      <c r="F1295" s="16" t="str" cm="1">
        <f t="array" ref="F1295">IF(B1295="","",(IF(B1295="Compra de estoque","",(_xlfn.IFS(AND(B1295="Venda de produtos",H1295="Sul/Sudeste"),(VLOOKUP(C1295,Tabela1[#All],9,0)*E1295),AND(B1295="Venda de produtos",H1295="Nordeste"),(VLOOKUP(C1295,Tabela1[#All],11,0)*E1295),AND("Venda de produtos",H1295="Norte/Centro-Oeste"),(VLOOKUP(C1295,Tabela1[#All],13,0)*E1295))))))</f>
        <v/>
      </c>
      <c r="G1295" s="16" t="str">
        <f>IF(B1295="Compra de estoque",VLOOKUP(C1295,Tabela1[#All],4,0)*E1295,"")</f>
        <v/>
      </c>
      <c r="H1295" s="16"/>
    </row>
    <row r="1296" spans="4:8" x14ac:dyDescent="0.25">
      <c r="D1296" s="15" t="str">
        <f>IF(C1296="","",VLOOKUP(C1296,Tabela1[#All],2,0))</f>
        <v/>
      </c>
      <c r="F1296" s="16" t="str" cm="1">
        <f t="array" ref="F1296">IF(B1296="","",(IF(B1296="Compra de estoque","",(_xlfn.IFS(AND(B1296="Venda de produtos",H1296="Sul/Sudeste"),(VLOOKUP(C1296,Tabela1[#All],9,0)*E1296),AND(B1296="Venda de produtos",H1296="Nordeste"),(VLOOKUP(C1296,Tabela1[#All],11,0)*E1296),AND("Venda de produtos",H1296="Norte/Centro-Oeste"),(VLOOKUP(C1296,Tabela1[#All],13,0)*E1296))))))</f>
        <v/>
      </c>
      <c r="G1296" s="16" t="str">
        <f>IF(B1296="Compra de estoque",VLOOKUP(C1296,Tabela1[#All],4,0)*E1296,"")</f>
        <v/>
      </c>
      <c r="H1296" s="16"/>
    </row>
    <row r="1297" spans="4:8" x14ac:dyDescent="0.25">
      <c r="D1297" s="15" t="str">
        <f>IF(C1297="","",VLOOKUP(C1297,Tabela1[#All],2,0))</f>
        <v/>
      </c>
      <c r="F1297" s="16" t="str" cm="1">
        <f t="array" ref="F1297">IF(B1297="","",(IF(B1297="Compra de estoque","",(_xlfn.IFS(AND(B1297="Venda de produtos",H1297="Sul/Sudeste"),(VLOOKUP(C1297,Tabela1[#All],9,0)*E1297),AND(B1297="Venda de produtos",H1297="Nordeste"),(VLOOKUP(C1297,Tabela1[#All],11,0)*E1297),AND("Venda de produtos",H1297="Norte/Centro-Oeste"),(VLOOKUP(C1297,Tabela1[#All],13,0)*E1297))))))</f>
        <v/>
      </c>
      <c r="G1297" s="16" t="str">
        <f>IF(B1297="Compra de estoque",VLOOKUP(C1297,Tabela1[#All],4,0)*E1297,"")</f>
        <v/>
      </c>
      <c r="H1297" s="16"/>
    </row>
    <row r="1298" spans="4:8" x14ac:dyDescent="0.25">
      <c r="D1298" s="15" t="str">
        <f>IF(C1298="","",VLOOKUP(C1298,Tabela1[#All],2,0))</f>
        <v/>
      </c>
      <c r="F1298" s="16" t="str" cm="1">
        <f t="array" ref="F1298">IF(B1298="","",(IF(B1298="Compra de estoque","",(_xlfn.IFS(AND(B1298="Venda de produtos",H1298="Sul/Sudeste"),(VLOOKUP(C1298,Tabela1[#All],9,0)*E1298),AND(B1298="Venda de produtos",H1298="Nordeste"),(VLOOKUP(C1298,Tabela1[#All],11,0)*E1298),AND("Venda de produtos",H1298="Norte/Centro-Oeste"),(VLOOKUP(C1298,Tabela1[#All],13,0)*E1298))))))</f>
        <v/>
      </c>
      <c r="G1298" s="16" t="str">
        <f>IF(B1298="Compra de estoque",VLOOKUP(C1298,Tabela1[#All],4,0)*E1298,"")</f>
        <v/>
      </c>
      <c r="H1298" s="16"/>
    </row>
    <row r="1299" spans="4:8" x14ac:dyDescent="0.25">
      <c r="D1299" s="15" t="str">
        <f>IF(C1299="","",VLOOKUP(C1299,Tabela1[#All],2,0))</f>
        <v/>
      </c>
      <c r="F1299" s="16" t="str" cm="1">
        <f t="array" ref="F1299">IF(B1299="","",(IF(B1299="Compra de estoque","",(_xlfn.IFS(AND(B1299="Venda de produtos",H1299="Sul/Sudeste"),(VLOOKUP(C1299,Tabela1[#All],9,0)*E1299),AND(B1299="Venda de produtos",H1299="Nordeste"),(VLOOKUP(C1299,Tabela1[#All],11,0)*E1299),AND("Venda de produtos",H1299="Norte/Centro-Oeste"),(VLOOKUP(C1299,Tabela1[#All],13,0)*E1299))))))</f>
        <v/>
      </c>
      <c r="G1299" s="16" t="str">
        <f>IF(B1299="Compra de estoque",VLOOKUP(C1299,Tabela1[#All],4,0)*E1299,"")</f>
        <v/>
      </c>
      <c r="H1299" s="16"/>
    </row>
    <row r="1300" spans="4:8" x14ac:dyDescent="0.25">
      <c r="D1300" s="15" t="str">
        <f>IF(C1300="","",VLOOKUP(C1300,Tabela1[#All],2,0))</f>
        <v/>
      </c>
      <c r="F1300" s="16" t="str" cm="1">
        <f t="array" ref="F1300">IF(B1300="","",(IF(B1300="Compra de estoque","",(_xlfn.IFS(AND(B1300="Venda de produtos",H1300="Sul/Sudeste"),(VLOOKUP(C1300,Tabela1[#All],9,0)*E1300),AND(B1300="Venda de produtos",H1300="Nordeste"),(VLOOKUP(C1300,Tabela1[#All],11,0)*E1300),AND("Venda de produtos",H1300="Norte/Centro-Oeste"),(VLOOKUP(C1300,Tabela1[#All],13,0)*E1300))))))</f>
        <v/>
      </c>
      <c r="G1300" s="16" t="str">
        <f>IF(B1300="Compra de estoque",VLOOKUP(C1300,Tabela1[#All],4,0)*E1300,"")</f>
        <v/>
      </c>
      <c r="H1300" s="16"/>
    </row>
    <row r="1301" spans="4:8" x14ac:dyDescent="0.25">
      <c r="D1301" s="15" t="str">
        <f>IF(C1301="","",VLOOKUP(C1301,Tabela1[#All],2,0))</f>
        <v/>
      </c>
      <c r="F1301" s="16" t="str" cm="1">
        <f t="array" ref="F1301">IF(B1301="","",(IF(B1301="Compra de estoque","",(_xlfn.IFS(AND(B1301="Venda de produtos",H1301="Sul/Sudeste"),(VLOOKUP(C1301,Tabela1[#All],9,0)*E1301),AND(B1301="Venda de produtos",H1301="Nordeste"),(VLOOKUP(C1301,Tabela1[#All],11,0)*E1301),AND("Venda de produtos",H1301="Norte/Centro-Oeste"),(VLOOKUP(C1301,Tabela1[#All],13,0)*E1301))))))</f>
        <v/>
      </c>
      <c r="G1301" s="16" t="str">
        <f>IF(B1301="Compra de estoque",VLOOKUP(C1301,Tabela1[#All],4,0)*E1301,"")</f>
        <v/>
      </c>
      <c r="H1301" s="16"/>
    </row>
    <row r="1302" spans="4:8" x14ac:dyDescent="0.25">
      <c r="D1302" s="15" t="str">
        <f>IF(C1302="","",VLOOKUP(C1302,Tabela1[#All],2,0))</f>
        <v/>
      </c>
      <c r="F1302" s="16" t="str" cm="1">
        <f t="array" ref="F1302">IF(B1302="","",(IF(B1302="Compra de estoque","",(_xlfn.IFS(AND(B1302="Venda de produtos",H1302="Sul/Sudeste"),(VLOOKUP(C1302,Tabela1[#All],9,0)*E1302),AND(B1302="Venda de produtos",H1302="Nordeste"),(VLOOKUP(C1302,Tabela1[#All],11,0)*E1302),AND("Venda de produtos",H1302="Norte/Centro-Oeste"),(VLOOKUP(C1302,Tabela1[#All],13,0)*E1302))))))</f>
        <v/>
      </c>
      <c r="G1302" s="16" t="str">
        <f>IF(B1302="Compra de estoque",VLOOKUP(C1302,Tabela1[#All],4,0)*E1302,"")</f>
        <v/>
      </c>
      <c r="H1302" s="16"/>
    </row>
    <row r="1303" spans="4:8" x14ac:dyDescent="0.25">
      <c r="D1303" s="15" t="str">
        <f>IF(C1303="","",VLOOKUP(C1303,Tabela1[#All],2,0))</f>
        <v/>
      </c>
      <c r="F1303" s="16" t="str" cm="1">
        <f t="array" ref="F1303">IF(B1303="","",(IF(B1303="Compra de estoque","",(_xlfn.IFS(AND(B1303="Venda de produtos",H1303="Sul/Sudeste"),(VLOOKUP(C1303,Tabela1[#All],9,0)*E1303),AND(B1303="Venda de produtos",H1303="Nordeste"),(VLOOKUP(C1303,Tabela1[#All],11,0)*E1303),AND("Venda de produtos",H1303="Norte/Centro-Oeste"),(VLOOKUP(C1303,Tabela1[#All],13,0)*E1303))))))</f>
        <v/>
      </c>
      <c r="G1303" s="16" t="str">
        <f>IF(B1303="Compra de estoque",VLOOKUP(C1303,Tabela1[#All],4,0)*E1303,"")</f>
        <v/>
      </c>
      <c r="H1303" s="16"/>
    </row>
    <row r="1304" spans="4:8" x14ac:dyDescent="0.25">
      <c r="D1304" s="15" t="str">
        <f>IF(C1304="","",VLOOKUP(C1304,Tabela1[#All],2,0))</f>
        <v/>
      </c>
      <c r="F1304" s="16" t="str" cm="1">
        <f t="array" ref="F1304">IF(B1304="","",(IF(B1304="Compra de estoque","",(_xlfn.IFS(AND(B1304="Venda de produtos",H1304="Sul/Sudeste"),(VLOOKUP(C1304,Tabela1[#All],9,0)*E1304),AND(B1304="Venda de produtos",H1304="Nordeste"),(VLOOKUP(C1304,Tabela1[#All],11,0)*E1304),AND("Venda de produtos",H1304="Norte/Centro-Oeste"),(VLOOKUP(C1304,Tabela1[#All],13,0)*E1304))))))</f>
        <v/>
      </c>
      <c r="G1304" s="16" t="str">
        <f>IF(B1304="Compra de estoque",VLOOKUP(C1304,Tabela1[#All],4,0)*E1304,"")</f>
        <v/>
      </c>
      <c r="H1304" s="16"/>
    </row>
    <row r="1305" spans="4:8" x14ac:dyDescent="0.25">
      <c r="D1305" s="15" t="str">
        <f>IF(C1305="","",VLOOKUP(C1305,Tabela1[#All],2,0))</f>
        <v/>
      </c>
      <c r="F1305" s="16" t="str" cm="1">
        <f t="array" ref="F1305">IF(B1305="","",(IF(B1305="Compra de estoque","",(_xlfn.IFS(AND(B1305="Venda de produtos",H1305="Sul/Sudeste"),(VLOOKUP(C1305,Tabela1[#All],9,0)*E1305),AND(B1305="Venda de produtos",H1305="Nordeste"),(VLOOKUP(C1305,Tabela1[#All],11,0)*E1305),AND("Venda de produtos",H1305="Norte/Centro-Oeste"),(VLOOKUP(C1305,Tabela1[#All],13,0)*E1305))))))</f>
        <v/>
      </c>
      <c r="G1305" s="16" t="str">
        <f>IF(B1305="Compra de estoque",VLOOKUP(C1305,Tabela1[#All],4,0)*E1305,"")</f>
        <v/>
      </c>
      <c r="H1305" s="16"/>
    </row>
    <row r="1306" spans="4:8" x14ac:dyDescent="0.25">
      <c r="D1306" s="15" t="str">
        <f>IF(C1306="","",VLOOKUP(C1306,Tabela1[#All],2,0))</f>
        <v/>
      </c>
      <c r="F1306" s="16" t="str" cm="1">
        <f t="array" ref="F1306">IF(B1306="","",(IF(B1306="Compra de estoque","",(_xlfn.IFS(AND(B1306="Venda de produtos",H1306="Sul/Sudeste"),(VLOOKUP(C1306,Tabela1[#All],9,0)*E1306),AND(B1306="Venda de produtos",H1306="Nordeste"),(VLOOKUP(C1306,Tabela1[#All],11,0)*E1306),AND("Venda de produtos",H1306="Norte/Centro-Oeste"),(VLOOKUP(C1306,Tabela1[#All],13,0)*E1306))))))</f>
        <v/>
      </c>
      <c r="G1306" s="16" t="str">
        <f>IF(B1306="Compra de estoque",VLOOKUP(C1306,Tabela1[#All],4,0)*E1306,"")</f>
        <v/>
      </c>
      <c r="H1306" s="16"/>
    </row>
    <row r="1307" spans="4:8" x14ac:dyDescent="0.25">
      <c r="D1307" s="15" t="str">
        <f>IF(C1307="","",VLOOKUP(C1307,Tabela1[#All],2,0))</f>
        <v/>
      </c>
      <c r="F1307" s="16" t="str" cm="1">
        <f t="array" ref="F1307">IF(B1307="","",(IF(B1307="Compra de estoque","",(_xlfn.IFS(AND(B1307="Venda de produtos",H1307="Sul/Sudeste"),(VLOOKUP(C1307,Tabela1[#All],9,0)*E1307),AND(B1307="Venda de produtos",H1307="Nordeste"),(VLOOKUP(C1307,Tabela1[#All],11,0)*E1307),AND("Venda de produtos",H1307="Norte/Centro-Oeste"),(VLOOKUP(C1307,Tabela1[#All],13,0)*E1307))))))</f>
        <v/>
      </c>
      <c r="G1307" s="16" t="str">
        <f>IF(B1307="Compra de estoque",VLOOKUP(C1307,Tabela1[#All],4,0)*E1307,"")</f>
        <v/>
      </c>
      <c r="H1307" s="16"/>
    </row>
    <row r="1308" spans="4:8" x14ac:dyDescent="0.25">
      <c r="D1308" s="15" t="str">
        <f>IF(C1308="","",VLOOKUP(C1308,Tabela1[#All],2,0))</f>
        <v/>
      </c>
      <c r="F1308" s="16" t="str" cm="1">
        <f t="array" ref="F1308">IF(B1308="","",(IF(B1308="Compra de estoque","",(_xlfn.IFS(AND(B1308="Venda de produtos",H1308="Sul/Sudeste"),(VLOOKUP(C1308,Tabela1[#All],9,0)*E1308),AND(B1308="Venda de produtos",H1308="Nordeste"),(VLOOKUP(C1308,Tabela1[#All],11,0)*E1308),AND("Venda de produtos",H1308="Norte/Centro-Oeste"),(VLOOKUP(C1308,Tabela1[#All],13,0)*E1308))))))</f>
        <v/>
      </c>
      <c r="G1308" s="16" t="str">
        <f>IF(B1308="Compra de estoque",VLOOKUP(C1308,Tabela1[#All],4,0)*E1308,"")</f>
        <v/>
      </c>
      <c r="H1308" s="16"/>
    </row>
    <row r="1309" spans="4:8" x14ac:dyDescent="0.25">
      <c r="D1309" s="15" t="str">
        <f>IF(C1309="","",VLOOKUP(C1309,Tabela1[#All],2,0))</f>
        <v/>
      </c>
      <c r="F1309" s="16" t="str" cm="1">
        <f t="array" ref="F1309">IF(B1309="","",(IF(B1309="Compra de estoque","",(_xlfn.IFS(AND(B1309="Venda de produtos",H1309="Sul/Sudeste"),(VLOOKUP(C1309,Tabela1[#All],9,0)*E1309),AND(B1309="Venda de produtos",H1309="Nordeste"),(VLOOKUP(C1309,Tabela1[#All],11,0)*E1309),AND("Venda de produtos",H1309="Norte/Centro-Oeste"),(VLOOKUP(C1309,Tabela1[#All],13,0)*E1309))))))</f>
        <v/>
      </c>
      <c r="G1309" s="16" t="str">
        <f>IF(B1309="Compra de estoque",VLOOKUP(C1309,Tabela1[#All],4,0)*E1309,"")</f>
        <v/>
      </c>
      <c r="H1309" s="16"/>
    </row>
    <row r="1310" spans="4:8" x14ac:dyDescent="0.25">
      <c r="D1310" s="15" t="str">
        <f>IF(C1310="","",VLOOKUP(C1310,Tabela1[#All],2,0))</f>
        <v/>
      </c>
      <c r="F1310" s="16" t="str" cm="1">
        <f t="array" ref="F1310">IF(B1310="","",(IF(B1310="Compra de estoque","",(_xlfn.IFS(AND(B1310="Venda de produtos",H1310="Sul/Sudeste"),(VLOOKUP(C1310,Tabela1[#All],9,0)*E1310),AND(B1310="Venda de produtos",H1310="Nordeste"),(VLOOKUP(C1310,Tabela1[#All],11,0)*E1310),AND("Venda de produtos",H1310="Norte/Centro-Oeste"),(VLOOKUP(C1310,Tabela1[#All],13,0)*E1310))))))</f>
        <v/>
      </c>
      <c r="G1310" s="16" t="str">
        <f>IF(B1310="Compra de estoque",VLOOKUP(C1310,Tabela1[#All],4,0)*E1310,"")</f>
        <v/>
      </c>
      <c r="H1310" s="16"/>
    </row>
    <row r="1311" spans="4:8" x14ac:dyDescent="0.25">
      <c r="D1311" s="15" t="str">
        <f>IF(C1311="","",VLOOKUP(C1311,Tabela1[#All],2,0))</f>
        <v/>
      </c>
      <c r="F1311" s="16" t="str" cm="1">
        <f t="array" ref="F1311">IF(B1311="","",(IF(B1311="Compra de estoque","",(_xlfn.IFS(AND(B1311="Venda de produtos",H1311="Sul/Sudeste"),(VLOOKUP(C1311,Tabela1[#All],9,0)*E1311),AND(B1311="Venda de produtos",H1311="Nordeste"),(VLOOKUP(C1311,Tabela1[#All],11,0)*E1311),AND("Venda de produtos",H1311="Norte/Centro-Oeste"),(VLOOKUP(C1311,Tabela1[#All],13,0)*E1311))))))</f>
        <v/>
      </c>
      <c r="G1311" s="16" t="str">
        <f>IF(B1311="Compra de estoque",VLOOKUP(C1311,Tabela1[#All],4,0)*E1311,"")</f>
        <v/>
      </c>
      <c r="H1311" s="16"/>
    </row>
    <row r="1312" spans="4:8" x14ac:dyDescent="0.25">
      <c r="D1312" s="15" t="str">
        <f>IF(C1312="","",VLOOKUP(C1312,Tabela1[#All],2,0))</f>
        <v/>
      </c>
      <c r="F1312" s="16" t="str" cm="1">
        <f t="array" ref="F1312">IF(B1312="","",(IF(B1312="Compra de estoque","",(_xlfn.IFS(AND(B1312="Venda de produtos",H1312="Sul/Sudeste"),(VLOOKUP(C1312,Tabela1[#All],9,0)*E1312),AND(B1312="Venda de produtos",H1312="Nordeste"),(VLOOKUP(C1312,Tabela1[#All],11,0)*E1312),AND("Venda de produtos",H1312="Norte/Centro-Oeste"),(VLOOKUP(C1312,Tabela1[#All],13,0)*E1312))))))</f>
        <v/>
      </c>
      <c r="G1312" s="16" t="str">
        <f>IF(B1312="Compra de estoque",VLOOKUP(C1312,Tabela1[#All],4,0)*E1312,"")</f>
        <v/>
      </c>
      <c r="H1312" s="16"/>
    </row>
    <row r="1313" spans="4:8" x14ac:dyDescent="0.25">
      <c r="D1313" s="15" t="str">
        <f>IF(C1313="","",VLOOKUP(C1313,Tabela1[#All],2,0))</f>
        <v/>
      </c>
      <c r="F1313" s="16" t="str" cm="1">
        <f t="array" ref="F1313">IF(B1313="","",(IF(B1313="Compra de estoque","",(_xlfn.IFS(AND(B1313="Venda de produtos",H1313="Sul/Sudeste"),(VLOOKUP(C1313,Tabela1[#All],9,0)*E1313),AND(B1313="Venda de produtos",H1313="Nordeste"),(VLOOKUP(C1313,Tabela1[#All],11,0)*E1313),AND("Venda de produtos",H1313="Norte/Centro-Oeste"),(VLOOKUP(C1313,Tabela1[#All],13,0)*E1313))))))</f>
        <v/>
      </c>
      <c r="G1313" s="16" t="str">
        <f>IF(B1313="Compra de estoque",VLOOKUP(C1313,Tabela1[#All],4,0)*E1313,"")</f>
        <v/>
      </c>
      <c r="H1313" s="16"/>
    </row>
    <row r="1314" spans="4:8" x14ac:dyDescent="0.25">
      <c r="D1314" s="15" t="str">
        <f>IF(C1314="","",VLOOKUP(C1314,Tabela1[#All],2,0))</f>
        <v/>
      </c>
      <c r="F1314" s="16" t="str" cm="1">
        <f t="array" ref="F1314">IF(B1314="","",(IF(B1314="Compra de estoque","",(_xlfn.IFS(AND(B1314="Venda de produtos",H1314="Sul/Sudeste"),(VLOOKUP(C1314,Tabela1[#All],9,0)*E1314),AND(B1314="Venda de produtos",H1314="Nordeste"),(VLOOKUP(C1314,Tabela1[#All],11,0)*E1314),AND("Venda de produtos",H1314="Norte/Centro-Oeste"),(VLOOKUP(C1314,Tabela1[#All],13,0)*E1314))))))</f>
        <v/>
      </c>
      <c r="G1314" s="16" t="str">
        <f>IF(B1314="Compra de estoque",VLOOKUP(C1314,Tabela1[#All],4,0)*E1314,"")</f>
        <v/>
      </c>
      <c r="H1314" s="16"/>
    </row>
    <row r="1315" spans="4:8" x14ac:dyDescent="0.25">
      <c r="D1315" s="15" t="str">
        <f>IF(C1315="","",VLOOKUP(C1315,Tabela1[#All],2,0))</f>
        <v/>
      </c>
      <c r="F1315" s="16" t="str" cm="1">
        <f t="array" ref="F1315">IF(B1315="","",(IF(B1315="Compra de estoque","",(_xlfn.IFS(AND(B1315="Venda de produtos",H1315="Sul/Sudeste"),(VLOOKUP(C1315,Tabela1[#All],9,0)*E1315),AND(B1315="Venda de produtos",H1315="Nordeste"),(VLOOKUP(C1315,Tabela1[#All],11,0)*E1315),AND("Venda de produtos",H1315="Norte/Centro-Oeste"),(VLOOKUP(C1315,Tabela1[#All],13,0)*E1315))))))</f>
        <v/>
      </c>
      <c r="G1315" s="16" t="str">
        <f>IF(B1315="Compra de estoque",VLOOKUP(C1315,Tabela1[#All],4,0)*E1315,"")</f>
        <v/>
      </c>
      <c r="H1315" s="16"/>
    </row>
    <row r="1316" spans="4:8" x14ac:dyDescent="0.25">
      <c r="D1316" s="15" t="str">
        <f>IF(C1316="","",VLOOKUP(C1316,Tabela1[#All],2,0))</f>
        <v/>
      </c>
      <c r="F1316" s="16" t="str" cm="1">
        <f t="array" ref="F1316">IF(B1316="","",(IF(B1316="Compra de estoque","",(_xlfn.IFS(AND(B1316="Venda de produtos",H1316="Sul/Sudeste"),(VLOOKUP(C1316,Tabela1[#All],9,0)*E1316),AND(B1316="Venda de produtos",H1316="Nordeste"),(VLOOKUP(C1316,Tabela1[#All],11,0)*E1316),AND("Venda de produtos",H1316="Norte/Centro-Oeste"),(VLOOKUP(C1316,Tabela1[#All],13,0)*E1316))))))</f>
        <v/>
      </c>
      <c r="G1316" s="16" t="str">
        <f>IF(B1316="Compra de estoque",VLOOKUP(C1316,Tabela1[#All],4,0)*E1316,"")</f>
        <v/>
      </c>
      <c r="H1316" s="16"/>
    </row>
    <row r="1317" spans="4:8" x14ac:dyDescent="0.25">
      <c r="D1317" s="15" t="str">
        <f>IF(C1317="","",VLOOKUP(C1317,Tabela1[#All],2,0))</f>
        <v/>
      </c>
      <c r="F1317" s="16" t="str" cm="1">
        <f t="array" ref="F1317">IF(B1317="","",(IF(B1317="Compra de estoque","",(_xlfn.IFS(AND(B1317="Venda de produtos",H1317="Sul/Sudeste"),(VLOOKUP(C1317,Tabela1[#All],9,0)*E1317),AND(B1317="Venda de produtos",H1317="Nordeste"),(VLOOKUP(C1317,Tabela1[#All],11,0)*E1317),AND("Venda de produtos",H1317="Norte/Centro-Oeste"),(VLOOKUP(C1317,Tabela1[#All],13,0)*E1317))))))</f>
        <v/>
      </c>
      <c r="G1317" s="16" t="str">
        <f>IF(B1317="Compra de estoque",VLOOKUP(C1317,Tabela1[#All],4,0)*E1317,"")</f>
        <v/>
      </c>
      <c r="H1317" s="16"/>
    </row>
    <row r="1318" spans="4:8" x14ac:dyDescent="0.25">
      <c r="D1318" s="15" t="str">
        <f>IF(C1318="","",VLOOKUP(C1318,Tabela1[#All],2,0))</f>
        <v/>
      </c>
      <c r="F1318" s="16" t="str" cm="1">
        <f t="array" ref="F1318">IF(B1318="","",(IF(B1318="Compra de estoque","",(_xlfn.IFS(AND(B1318="Venda de produtos",H1318="Sul/Sudeste"),(VLOOKUP(C1318,Tabela1[#All],9,0)*E1318),AND(B1318="Venda de produtos",H1318="Nordeste"),(VLOOKUP(C1318,Tabela1[#All],11,0)*E1318),AND("Venda de produtos",H1318="Norte/Centro-Oeste"),(VLOOKUP(C1318,Tabela1[#All],13,0)*E1318))))))</f>
        <v/>
      </c>
      <c r="G1318" s="16" t="str">
        <f>IF(B1318="Compra de estoque",VLOOKUP(C1318,Tabela1[#All],4,0)*E1318,"")</f>
        <v/>
      </c>
      <c r="H1318" s="16"/>
    </row>
    <row r="1319" spans="4:8" x14ac:dyDescent="0.25">
      <c r="D1319" s="15" t="str">
        <f>IF(C1319="","",VLOOKUP(C1319,Tabela1[#All],2,0))</f>
        <v/>
      </c>
      <c r="F1319" s="16" t="str" cm="1">
        <f t="array" ref="F1319">IF(B1319="","",(IF(B1319="Compra de estoque","",(_xlfn.IFS(AND(B1319="Venda de produtos",H1319="Sul/Sudeste"),(VLOOKUP(C1319,Tabela1[#All],9,0)*E1319),AND(B1319="Venda de produtos",H1319="Nordeste"),(VLOOKUP(C1319,Tabela1[#All],11,0)*E1319),AND("Venda de produtos",H1319="Norte/Centro-Oeste"),(VLOOKUP(C1319,Tabela1[#All],13,0)*E1319))))))</f>
        <v/>
      </c>
      <c r="G1319" s="16" t="str">
        <f>IF(B1319="Compra de estoque",VLOOKUP(C1319,Tabela1[#All],4,0)*E1319,"")</f>
        <v/>
      </c>
      <c r="H1319" s="16"/>
    </row>
    <row r="1320" spans="4:8" x14ac:dyDescent="0.25">
      <c r="D1320" s="15" t="str">
        <f>IF(C1320="","",VLOOKUP(C1320,Tabela1[#All],2,0))</f>
        <v/>
      </c>
      <c r="F1320" s="16" t="str" cm="1">
        <f t="array" ref="F1320">IF(B1320="","",(IF(B1320="Compra de estoque","",(_xlfn.IFS(AND(B1320="Venda de produtos",H1320="Sul/Sudeste"),(VLOOKUP(C1320,Tabela1[#All],9,0)*E1320),AND(B1320="Venda de produtos",H1320="Nordeste"),(VLOOKUP(C1320,Tabela1[#All],11,0)*E1320),AND("Venda de produtos",H1320="Norte/Centro-Oeste"),(VLOOKUP(C1320,Tabela1[#All],13,0)*E1320))))))</f>
        <v/>
      </c>
      <c r="G1320" s="16" t="str">
        <f>IF(B1320="Compra de estoque",VLOOKUP(C1320,Tabela1[#All],4,0)*E1320,"")</f>
        <v/>
      </c>
      <c r="H1320" s="16"/>
    </row>
    <row r="1321" spans="4:8" x14ac:dyDescent="0.25">
      <c r="D1321" s="15" t="str">
        <f>IF(C1321="","",VLOOKUP(C1321,Tabela1[#All],2,0))</f>
        <v/>
      </c>
      <c r="F1321" s="16" t="str" cm="1">
        <f t="array" ref="F1321">IF(B1321="","",(IF(B1321="Compra de estoque","",(_xlfn.IFS(AND(B1321="Venda de produtos",H1321="Sul/Sudeste"),(VLOOKUP(C1321,Tabela1[#All],9,0)*E1321),AND(B1321="Venda de produtos",H1321="Nordeste"),(VLOOKUP(C1321,Tabela1[#All],11,0)*E1321),AND("Venda de produtos",H1321="Norte/Centro-Oeste"),(VLOOKUP(C1321,Tabela1[#All],13,0)*E1321))))))</f>
        <v/>
      </c>
      <c r="G1321" s="16" t="str">
        <f>IF(B1321="Compra de estoque",VLOOKUP(C1321,Tabela1[#All],4,0)*E1321,"")</f>
        <v/>
      </c>
      <c r="H1321" s="16"/>
    </row>
    <row r="1322" spans="4:8" x14ac:dyDescent="0.25">
      <c r="D1322" s="15" t="str">
        <f>IF(C1322="","",VLOOKUP(C1322,Tabela1[#All],2,0))</f>
        <v/>
      </c>
      <c r="F1322" s="16" t="str" cm="1">
        <f t="array" ref="F1322">IF(B1322="","",(IF(B1322="Compra de estoque","",(_xlfn.IFS(AND(B1322="Venda de produtos",H1322="Sul/Sudeste"),(VLOOKUP(C1322,Tabela1[#All],9,0)*E1322),AND(B1322="Venda de produtos",H1322="Nordeste"),(VLOOKUP(C1322,Tabela1[#All],11,0)*E1322),AND("Venda de produtos",H1322="Norte/Centro-Oeste"),(VLOOKUP(C1322,Tabela1[#All],13,0)*E1322))))))</f>
        <v/>
      </c>
      <c r="G1322" s="16" t="str">
        <f>IF(B1322="Compra de estoque",VLOOKUP(C1322,Tabela1[#All],4,0)*E1322,"")</f>
        <v/>
      </c>
      <c r="H1322" s="16"/>
    </row>
    <row r="1323" spans="4:8" x14ac:dyDescent="0.25">
      <c r="D1323" s="15" t="str">
        <f>IF(C1323="","",VLOOKUP(C1323,Tabela1[#All],2,0))</f>
        <v/>
      </c>
      <c r="F1323" s="16" t="str" cm="1">
        <f t="array" ref="F1323">IF(B1323="","",(IF(B1323="Compra de estoque","",(_xlfn.IFS(AND(B1323="Venda de produtos",H1323="Sul/Sudeste"),(VLOOKUP(C1323,Tabela1[#All],9,0)*E1323),AND(B1323="Venda de produtos",H1323="Nordeste"),(VLOOKUP(C1323,Tabela1[#All],11,0)*E1323),AND("Venda de produtos",H1323="Norte/Centro-Oeste"),(VLOOKUP(C1323,Tabela1[#All],13,0)*E1323))))))</f>
        <v/>
      </c>
      <c r="G1323" s="16" t="str">
        <f>IF(B1323="Compra de estoque",VLOOKUP(C1323,Tabela1[#All],4,0)*E1323,"")</f>
        <v/>
      </c>
      <c r="H1323" s="16"/>
    </row>
    <row r="1324" spans="4:8" x14ac:dyDescent="0.25">
      <c r="D1324" s="15" t="str">
        <f>IF(C1324="","",VLOOKUP(C1324,Tabela1[#All],2,0))</f>
        <v/>
      </c>
      <c r="F1324" s="16" t="str" cm="1">
        <f t="array" ref="F1324">IF(B1324="","",(IF(B1324="Compra de estoque","",(_xlfn.IFS(AND(B1324="Venda de produtos",H1324="Sul/Sudeste"),(VLOOKUP(C1324,Tabela1[#All],9,0)*E1324),AND(B1324="Venda de produtos",H1324="Nordeste"),(VLOOKUP(C1324,Tabela1[#All],11,0)*E1324),AND("Venda de produtos",H1324="Norte/Centro-Oeste"),(VLOOKUP(C1324,Tabela1[#All],13,0)*E1324))))))</f>
        <v/>
      </c>
      <c r="G1324" s="16" t="str">
        <f>IF(B1324="Compra de estoque",VLOOKUP(C1324,Tabela1[#All],4,0)*E1324,"")</f>
        <v/>
      </c>
      <c r="H1324" s="16"/>
    </row>
    <row r="1325" spans="4:8" x14ac:dyDescent="0.25">
      <c r="D1325" s="15" t="str">
        <f>IF(C1325="","",VLOOKUP(C1325,Tabela1[#All],2,0))</f>
        <v/>
      </c>
      <c r="F1325" s="16" t="str" cm="1">
        <f t="array" ref="F1325">IF(B1325="","",(IF(B1325="Compra de estoque","",(_xlfn.IFS(AND(B1325="Venda de produtos",H1325="Sul/Sudeste"),(VLOOKUP(C1325,Tabela1[#All],9,0)*E1325),AND(B1325="Venda de produtos",H1325="Nordeste"),(VLOOKUP(C1325,Tabela1[#All],11,0)*E1325),AND("Venda de produtos",H1325="Norte/Centro-Oeste"),(VLOOKUP(C1325,Tabela1[#All],13,0)*E1325))))))</f>
        <v/>
      </c>
      <c r="G1325" s="16" t="str">
        <f>IF(B1325="Compra de estoque",VLOOKUP(C1325,Tabela1[#All],4,0)*E1325,"")</f>
        <v/>
      </c>
      <c r="H1325" s="16"/>
    </row>
    <row r="1326" spans="4:8" x14ac:dyDescent="0.25">
      <c r="D1326" s="15" t="str">
        <f>IF(C1326="","",VLOOKUP(C1326,Tabela1[#All],2,0))</f>
        <v/>
      </c>
      <c r="F1326" s="16" t="str" cm="1">
        <f t="array" ref="F1326">IF(B1326="","",(IF(B1326="Compra de estoque","",(_xlfn.IFS(AND(B1326="Venda de produtos",H1326="Sul/Sudeste"),(VLOOKUP(C1326,Tabela1[#All],9,0)*E1326),AND(B1326="Venda de produtos",H1326="Nordeste"),(VLOOKUP(C1326,Tabela1[#All],11,0)*E1326),AND("Venda de produtos",H1326="Norte/Centro-Oeste"),(VLOOKUP(C1326,Tabela1[#All],13,0)*E1326))))))</f>
        <v/>
      </c>
      <c r="G1326" s="16" t="str">
        <f>IF(B1326="Compra de estoque",VLOOKUP(C1326,Tabela1[#All],4,0)*E1326,"")</f>
        <v/>
      </c>
      <c r="H1326" s="16"/>
    </row>
    <row r="1327" spans="4:8" x14ac:dyDescent="0.25">
      <c r="D1327" s="15" t="str">
        <f>IF(C1327="","",VLOOKUP(C1327,Tabela1[#All],2,0))</f>
        <v/>
      </c>
      <c r="F1327" s="16" t="str" cm="1">
        <f t="array" ref="F1327">IF(B1327="","",(IF(B1327="Compra de estoque","",(_xlfn.IFS(AND(B1327="Venda de produtos",H1327="Sul/Sudeste"),(VLOOKUP(C1327,Tabela1[#All],9,0)*E1327),AND(B1327="Venda de produtos",H1327="Nordeste"),(VLOOKUP(C1327,Tabela1[#All],11,0)*E1327),AND("Venda de produtos",H1327="Norte/Centro-Oeste"),(VLOOKUP(C1327,Tabela1[#All],13,0)*E1327))))))</f>
        <v/>
      </c>
      <c r="G1327" s="16" t="str">
        <f>IF(B1327="Compra de estoque",VLOOKUP(C1327,Tabela1[#All],4,0)*E1327,"")</f>
        <v/>
      </c>
      <c r="H1327" s="16"/>
    </row>
    <row r="1328" spans="4:8" x14ac:dyDescent="0.25">
      <c r="D1328" s="15" t="str">
        <f>IF(C1328="","",VLOOKUP(C1328,Tabela1[#All],2,0))</f>
        <v/>
      </c>
      <c r="F1328" s="16" t="str" cm="1">
        <f t="array" ref="F1328">IF(B1328="","",(IF(B1328="Compra de estoque","",(_xlfn.IFS(AND(B1328="Venda de produtos",H1328="Sul/Sudeste"),(VLOOKUP(C1328,Tabela1[#All],9,0)*E1328),AND(B1328="Venda de produtos",H1328="Nordeste"),(VLOOKUP(C1328,Tabela1[#All],11,0)*E1328),AND("Venda de produtos",H1328="Norte/Centro-Oeste"),(VLOOKUP(C1328,Tabela1[#All],13,0)*E1328))))))</f>
        <v/>
      </c>
      <c r="G1328" s="16" t="str">
        <f>IF(B1328="Compra de estoque",VLOOKUP(C1328,Tabela1[#All],4,0)*E1328,"")</f>
        <v/>
      </c>
      <c r="H1328" s="16"/>
    </row>
    <row r="1329" spans="4:8" x14ac:dyDescent="0.25">
      <c r="D1329" s="15" t="str">
        <f>IF(C1329="","",VLOOKUP(C1329,Tabela1[#All],2,0))</f>
        <v/>
      </c>
      <c r="F1329" s="16" t="str" cm="1">
        <f t="array" ref="F1329">IF(B1329="","",(IF(B1329="Compra de estoque","",(_xlfn.IFS(AND(B1329="Venda de produtos",H1329="Sul/Sudeste"),(VLOOKUP(C1329,Tabela1[#All],9,0)*E1329),AND(B1329="Venda de produtos",H1329="Nordeste"),(VLOOKUP(C1329,Tabela1[#All],11,0)*E1329),AND("Venda de produtos",H1329="Norte/Centro-Oeste"),(VLOOKUP(C1329,Tabela1[#All],13,0)*E1329))))))</f>
        <v/>
      </c>
      <c r="G1329" s="16" t="str">
        <f>IF(B1329="Compra de estoque",VLOOKUP(C1329,Tabela1[#All],4,0)*E1329,"")</f>
        <v/>
      </c>
      <c r="H1329" s="16"/>
    </row>
    <row r="1330" spans="4:8" x14ac:dyDescent="0.25">
      <c r="D1330" s="15" t="str">
        <f>IF(C1330="","",VLOOKUP(C1330,Tabela1[#All],2,0))</f>
        <v/>
      </c>
      <c r="F1330" s="16" t="str" cm="1">
        <f t="array" ref="F1330">IF(B1330="","",(IF(B1330="Compra de estoque","",(_xlfn.IFS(AND(B1330="Venda de produtos",H1330="Sul/Sudeste"),(VLOOKUP(C1330,Tabela1[#All],9,0)*E1330),AND(B1330="Venda de produtos",H1330="Nordeste"),(VLOOKUP(C1330,Tabela1[#All],11,0)*E1330),AND("Venda de produtos",H1330="Norte/Centro-Oeste"),(VLOOKUP(C1330,Tabela1[#All],13,0)*E1330))))))</f>
        <v/>
      </c>
      <c r="G1330" s="16" t="str">
        <f>IF(B1330="Compra de estoque",VLOOKUP(C1330,Tabela1[#All],4,0)*E1330,"")</f>
        <v/>
      </c>
      <c r="H1330" s="16"/>
    </row>
    <row r="1331" spans="4:8" x14ac:dyDescent="0.25">
      <c r="D1331" s="15" t="str">
        <f>IF(C1331="","",VLOOKUP(C1331,Tabela1[#All],2,0))</f>
        <v/>
      </c>
      <c r="F1331" s="16" t="str" cm="1">
        <f t="array" ref="F1331">IF(B1331="","",(IF(B1331="Compra de estoque","",(_xlfn.IFS(AND(B1331="Venda de produtos",H1331="Sul/Sudeste"),(VLOOKUP(C1331,Tabela1[#All],9,0)*E1331),AND(B1331="Venda de produtos",H1331="Nordeste"),(VLOOKUP(C1331,Tabela1[#All],11,0)*E1331),AND("Venda de produtos",H1331="Norte/Centro-Oeste"),(VLOOKUP(C1331,Tabela1[#All],13,0)*E1331))))))</f>
        <v/>
      </c>
      <c r="G1331" s="16" t="str">
        <f>IF(B1331="Compra de estoque",VLOOKUP(C1331,Tabela1[#All],4,0)*E1331,"")</f>
        <v/>
      </c>
      <c r="H1331" s="16"/>
    </row>
    <row r="1332" spans="4:8" x14ac:dyDescent="0.25">
      <c r="D1332" s="15" t="str">
        <f>IF(C1332="","",VLOOKUP(C1332,Tabela1[#All],2,0))</f>
        <v/>
      </c>
      <c r="F1332" s="16" t="str" cm="1">
        <f t="array" ref="F1332">IF(B1332="","",(IF(B1332="Compra de estoque","",(_xlfn.IFS(AND(B1332="Venda de produtos",H1332="Sul/Sudeste"),(VLOOKUP(C1332,Tabela1[#All],9,0)*E1332),AND(B1332="Venda de produtos",H1332="Nordeste"),(VLOOKUP(C1332,Tabela1[#All],11,0)*E1332),AND("Venda de produtos",H1332="Norte/Centro-Oeste"),(VLOOKUP(C1332,Tabela1[#All],13,0)*E1332))))))</f>
        <v/>
      </c>
      <c r="G1332" s="16" t="str">
        <f>IF(B1332="Compra de estoque",VLOOKUP(C1332,Tabela1[#All],4,0)*E1332,"")</f>
        <v/>
      </c>
      <c r="H1332" s="16"/>
    </row>
    <row r="1333" spans="4:8" x14ac:dyDescent="0.25">
      <c r="D1333" s="15" t="str">
        <f>IF(C1333="","",VLOOKUP(C1333,Tabela1[#All],2,0))</f>
        <v/>
      </c>
      <c r="F1333" s="16" t="str" cm="1">
        <f t="array" ref="F1333">IF(B1333="","",(IF(B1333="Compra de estoque","",(_xlfn.IFS(AND(B1333="Venda de produtos",H1333="Sul/Sudeste"),(VLOOKUP(C1333,Tabela1[#All],9,0)*E1333),AND(B1333="Venda de produtos",H1333="Nordeste"),(VLOOKUP(C1333,Tabela1[#All],11,0)*E1333),AND("Venda de produtos",H1333="Norte/Centro-Oeste"),(VLOOKUP(C1333,Tabela1[#All],13,0)*E1333))))))</f>
        <v/>
      </c>
      <c r="G1333" s="16" t="str">
        <f>IF(B1333="Compra de estoque",VLOOKUP(C1333,Tabela1[#All],4,0)*E1333,"")</f>
        <v/>
      </c>
      <c r="H1333" s="16"/>
    </row>
    <row r="1334" spans="4:8" x14ac:dyDescent="0.25">
      <c r="D1334" s="15" t="str">
        <f>IF(C1334="","",VLOOKUP(C1334,Tabela1[#All],2,0))</f>
        <v/>
      </c>
      <c r="F1334" s="16" t="str" cm="1">
        <f t="array" ref="F1334">IF(B1334="","",(IF(B1334="Compra de estoque","",(_xlfn.IFS(AND(B1334="Venda de produtos",H1334="Sul/Sudeste"),(VLOOKUP(C1334,Tabela1[#All],9,0)*E1334),AND(B1334="Venda de produtos",H1334="Nordeste"),(VLOOKUP(C1334,Tabela1[#All],11,0)*E1334),AND("Venda de produtos",H1334="Norte/Centro-Oeste"),(VLOOKUP(C1334,Tabela1[#All],13,0)*E1334))))))</f>
        <v/>
      </c>
      <c r="G1334" s="16" t="str">
        <f>IF(B1334="Compra de estoque",VLOOKUP(C1334,Tabela1[#All],4,0)*E1334,"")</f>
        <v/>
      </c>
      <c r="H1334" s="16"/>
    </row>
    <row r="1335" spans="4:8" x14ac:dyDescent="0.25">
      <c r="D1335" s="15" t="str">
        <f>IF(C1335="","",VLOOKUP(C1335,Tabela1[#All],2,0))</f>
        <v/>
      </c>
      <c r="F1335" s="16" t="str" cm="1">
        <f t="array" ref="F1335">IF(B1335="","",(IF(B1335="Compra de estoque","",(_xlfn.IFS(AND(B1335="Venda de produtos",H1335="Sul/Sudeste"),(VLOOKUP(C1335,Tabela1[#All],9,0)*E1335),AND(B1335="Venda de produtos",H1335="Nordeste"),(VLOOKUP(C1335,Tabela1[#All],11,0)*E1335),AND("Venda de produtos",H1335="Norte/Centro-Oeste"),(VLOOKUP(C1335,Tabela1[#All],13,0)*E1335))))))</f>
        <v/>
      </c>
      <c r="G1335" s="16" t="str">
        <f>IF(B1335="Compra de estoque",VLOOKUP(C1335,Tabela1[#All],4,0)*E1335,"")</f>
        <v/>
      </c>
      <c r="H1335" s="16"/>
    </row>
    <row r="1336" spans="4:8" x14ac:dyDescent="0.25">
      <c r="D1336" s="15" t="str">
        <f>IF(C1336="","",VLOOKUP(C1336,Tabela1[#All],2,0))</f>
        <v/>
      </c>
      <c r="F1336" s="16" t="str" cm="1">
        <f t="array" ref="F1336">IF(B1336="","",(IF(B1336="Compra de estoque","",(_xlfn.IFS(AND(B1336="Venda de produtos",H1336="Sul/Sudeste"),(VLOOKUP(C1336,Tabela1[#All],9,0)*E1336),AND(B1336="Venda de produtos",H1336="Nordeste"),(VLOOKUP(C1336,Tabela1[#All],11,0)*E1336),AND("Venda de produtos",H1336="Norte/Centro-Oeste"),(VLOOKUP(C1336,Tabela1[#All],13,0)*E1336))))))</f>
        <v/>
      </c>
      <c r="G1336" s="16" t="str">
        <f>IF(B1336="Compra de estoque",VLOOKUP(C1336,Tabela1[#All],4,0)*E1336,"")</f>
        <v/>
      </c>
      <c r="H1336" s="16"/>
    </row>
    <row r="1337" spans="4:8" x14ac:dyDescent="0.25">
      <c r="D1337" s="15" t="str">
        <f>IF(C1337="","",VLOOKUP(C1337,Tabela1[#All],2,0))</f>
        <v/>
      </c>
      <c r="F1337" s="16" t="str" cm="1">
        <f t="array" ref="F1337">IF(B1337="","",(IF(B1337="Compra de estoque","",(_xlfn.IFS(AND(B1337="Venda de produtos",H1337="Sul/Sudeste"),(VLOOKUP(C1337,Tabela1[#All],9,0)*E1337),AND(B1337="Venda de produtos",H1337="Nordeste"),(VLOOKUP(C1337,Tabela1[#All],11,0)*E1337),AND("Venda de produtos",H1337="Norte/Centro-Oeste"),(VLOOKUP(C1337,Tabela1[#All],13,0)*E1337))))))</f>
        <v/>
      </c>
      <c r="G1337" s="16" t="str">
        <f>IF(B1337="Compra de estoque",VLOOKUP(C1337,Tabela1[#All],4,0)*E1337,"")</f>
        <v/>
      </c>
      <c r="H1337" s="16"/>
    </row>
    <row r="1338" spans="4:8" x14ac:dyDescent="0.25">
      <c r="D1338" s="15" t="str">
        <f>IF(C1338="","",VLOOKUP(C1338,Tabela1[#All],2,0))</f>
        <v/>
      </c>
      <c r="F1338" s="16" t="str" cm="1">
        <f t="array" ref="F1338">IF(B1338="","",(IF(B1338="Compra de estoque","",(_xlfn.IFS(AND(B1338="Venda de produtos",H1338="Sul/Sudeste"),(VLOOKUP(C1338,Tabela1[#All],9,0)*E1338),AND(B1338="Venda de produtos",H1338="Nordeste"),(VLOOKUP(C1338,Tabela1[#All],11,0)*E1338),AND("Venda de produtos",H1338="Norte/Centro-Oeste"),(VLOOKUP(C1338,Tabela1[#All],13,0)*E1338))))))</f>
        <v/>
      </c>
      <c r="G1338" s="16" t="str">
        <f>IF(B1338="Compra de estoque",VLOOKUP(C1338,Tabela1[#All],4,0)*E1338,"")</f>
        <v/>
      </c>
      <c r="H1338" s="16"/>
    </row>
    <row r="1339" spans="4:8" x14ac:dyDescent="0.25">
      <c r="D1339" s="15" t="str">
        <f>IF(C1339="","",VLOOKUP(C1339,Tabela1[#All],2,0))</f>
        <v/>
      </c>
      <c r="F1339" s="16" t="str" cm="1">
        <f t="array" ref="F1339">IF(B1339="","",(IF(B1339="Compra de estoque","",(_xlfn.IFS(AND(B1339="Venda de produtos",H1339="Sul/Sudeste"),(VLOOKUP(C1339,Tabela1[#All],9,0)*E1339),AND(B1339="Venda de produtos",H1339="Nordeste"),(VLOOKUP(C1339,Tabela1[#All],11,0)*E1339),AND("Venda de produtos",H1339="Norte/Centro-Oeste"),(VLOOKUP(C1339,Tabela1[#All],13,0)*E1339))))))</f>
        <v/>
      </c>
      <c r="G1339" s="16" t="str">
        <f>IF(B1339="Compra de estoque",VLOOKUP(C1339,Tabela1[#All],4,0)*E1339,"")</f>
        <v/>
      </c>
      <c r="H1339" s="16"/>
    </row>
    <row r="1340" spans="4:8" x14ac:dyDescent="0.25">
      <c r="D1340" s="15" t="str">
        <f>IF(C1340="","",VLOOKUP(C1340,Tabela1[#All],2,0))</f>
        <v/>
      </c>
      <c r="F1340" s="16" t="str" cm="1">
        <f t="array" ref="F1340">IF(B1340="","",(IF(B1340="Compra de estoque","",(_xlfn.IFS(AND(B1340="Venda de produtos",H1340="Sul/Sudeste"),(VLOOKUP(C1340,Tabela1[#All],9,0)*E1340),AND(B1340="Venda de produtos",H1340="Nordeste"),(VLOOKUP(C1340,Tabela1[#All],11,0)*E1340),AND("Venda de produtos",H1340="Norte/Centro-Oeste"),(VLOOKUP(C1340,Tabela1[#All],13,0)*E1340))))))</f>
        <v/>
      </c>
      <c r="G1340" s="16" t="str">
        <f>IF(B1340="Compra de estoque",VLOOKUP(C1340,Tabela1[#All],4,0)*E1340,"")</f>
        <v/>
      </c>
      <c r="H1340" s="16"/>
    </row>
    <row r="1341" spans="4:8" x14ac:dyDescent="0.25">
      <c r="D1341" s="15" t="str">
        <f>IF(C1341="","",VLOOKUP(C1341,Tabela1[#All],2,0))</f>
        <v/>
      </c>
      <c r="F1341" s="16" t="str" cm="1">
        <f t="array" ref="F1341">IF(B1341="","",(IF(B1341="Compra de estoque","",(_xlfn.IFS(AND(B1341="Venda de produtos",H1341="Sul/Sudeste"),(VLOOKUP(C1341,Tabela1[#All],9,0)*E1341),AND(B1341="Venda de produtos",H1341="Nordeste"),(VLOOKUP(C1341,Tabela1[#All],11,0)*E1341),AND("Venda de produtos",H1341="Norte/Centro-Oeste"),(VLOOKUP(C1341,Tabela1[#All],13,0)*E1341))))))</f>
        <v/>
      </c>
      <c r="G1341" s="16" t="str">
        <f>IF(B1341="Compra de estoque",VLOOKUP(C1341,Tabela1[#All],4,0)*E1341,"")</f>
        <v/>
      </c>
      <c r="H1341" s="16"/>
    </row>
    <row r="1342" spans="4:8" x14ac:dyDescent="0.25">
      <c r="D1342" s="15" t="str">
        <f>IF(C1342="","",VLOOKUP(C1342,Tabela1[#All],2,0))</f>
        <v/>
      </c>
      <c r="F1342" s="16" t="str" cm="1">
        <f t="array" ref="F1342">IF(B1342="","",(IF(B1342="Compra de estoque","",(_xlfn.IFS(AND(B1342="Venda de produtos",H1342="Sul/Sudeste"),(VLOOKUP(C1342,Tabela1[#All],9,0)*E1342),AND(B1342="Venda de produtos",H1342="Nordeste"),(VLOOKUP(C1342,Tabela1[#All],11,0)*E1342),AND("Venda de produtos",H1342="Norte/Centro-Oeste"),(VLOOKUP(C1342,Tabela1[#All],13,0)*E1342))))))</f>
        <v/>
      </c>
      <c r="G1342" s="16" t="str">
        <f>IF(B1342="Compra de estoque",VLOOKUP(C1342,Tabela1[#All],4,0)*E1342,"")</f>
        <v/>
      </c>
      <c r="H1342" s="16"/>
    </row>
    <row r="1343" spans="4:8" x14ac:dyDescent="0.25">
      <c r="D1343" s="15" t="str">
        <f>IF(C1343="","",VLOOKUP(C1343,Tabela1[#All],2,0))</f>
        <v/>
      </c>
      <c r="F1343" s="16" t="str" cm="1">
        <f t="array" ref="F1343">IF(B1343="","",(IF(B1343="Compra de estoque","",(_xlfn.IFS(AND(B1343="Venda de produtos",H1343="Sul/Sudeste"),(VLOOKUP(C1343,Tabela1[#All],9,0)*E1343),AND(B1343="Venda de produtos",H1343="Nordeste"),(VLOOKUP(C1343,Tabela1[#All],11,0)*E1343),AND("Venda de produtos",H1343="Norte/Centro-Oeste"),(VLOOKUP(C1343,Tabela1[#All],13,0)*E1343))))))</f>
        <v/>
      </c>
      <c r="G1343" s="16" t="str">
        <f>IF(B1343="Compra de estoque",VLOOKUP(C1343,Tabela1[#All],4,0)*E1343,"")</f>
        <v/>
      </c>
      <c r="H1343" s="16"/>
    </row>
    <row r="1344" spans="4:8" x14ac:dyDescent="0.25">
      <c r="D1344" s="15" t="str">
        <f>IF(C1344="","",VLOOKUP(C1344,Tabela1[#All],2,0))</f>
        <v/>
      </c>
      <c r="F1344" s="16" t="str" cm="1">
        <f t="array" ref="F1344">IF(B1344="","",(IF(B1344="Compra de estoque","",(_xlfn.IFS(AND(B1344="Venda de produtos",H1344="Sul/Sudeste"),(VLOOKUP(C1344,Tabela1[#All],9,0)*E1344),AND(B1344="Venda de produtos",H1344="Nordeste"),(VLOOKUP(C1344,Tabela1[#All],11,0)*E1344),AND("Venda de produtos",H1344="Norte/Centro-Oeste"),(VLOOKUP(C1344,Tabela1[#All],13,0)*E1344))))))</f>
        <v/>
      </c>
      <c r="G1344" s="16" t="str">
        <f>IF(B1344="Compra de estoque",VLOOKUP(C1344,Tabela1[#All],4,0)*E1344,"")</f>
        <v/>
      </c>
      <c r="H1344" s="16"/>
    </row>
    <row r="1345" spans="4:8" x14ac:dyDescent="0.25">
      <c r="D1345" s="15" t="str">
        <f>IF(C1345="","",VLOOKUP(C1345,Tabela1[#All],2,0))</f>
        <v/>
      </c>
      <c r="F1345" s="16" t="str" cm="1">
        <f t="array" ref="F1345">IF(B1345="","",(IF(B1345="Compra de estoque","",(_xlfn.IFS(AND(B1345="Venda de produtos",H1345="Sul/Sudeste"),(VLOOKUP(C1345,Tabela1[#All],9,0)*E1345),AND(B1345="Venda de produtos",H1345="Nordeste"),(VLOOKUP(C1345,Tabela1[#All],11,0)*E1345),AND("Venda de produtos",H1345="Norte/Centro-Oeste"),(VLOOKUP(C1345,Tabela1[#All],13,0)*E1345))))))</f>
        <v/>
      </c>
      <c r="G1345" s="16" t="str">
        <f>IF(B1345="Compra de estoque",VLOOKUP(C1345,Tabela1[#All],4,0)*E1345,"")</f>
        <v/>
      </c>
      <c r="H1345" s="16"/>
    </row>
    <row r="1346" spans="4:8" x14ac:dyDescent="0.25">
      <c r="D1346" s="15" t="str">
        <f>IF(C1346="","",VLOOKUP(C1346,Tabela1[#All],2,0))</f>
        <v/>
      </c>
      <c r="F1346" s="16" t="str" cm="1">
        <f t="array" ref="F1346">IF(B1346="","",(IF(B1346="Compra de estoque","",(_xlfn.IFS(AND(B1346="Venda de produtos",H1346="Sul/Sudeste"),(VLOOKUP(C1346,Tabela1[#All],9,0)*E1346),AND(B1346="Venda de produtos",H1346="Nordeste"),(VLOOKUP(C1346,Tabela1[#All],11,0)*E1346),AND("Venda de produtos",H1346="Norte/Centro-Oeste"),(VLOOKUP(C1346,Tabela1[#All],13,0)*E1346))))))</f>
        <v/>
      </c>
      <c r="G1346" s="16" t="str">
        <f>IF(B1346="Compra de estoque",VLOOKUP(C1346,Tabela1[#All],4,0)*E1346,"")</f>
        <v/>
      </c>
      <c r="H1346" s="16"/>
    </row>
    <row r="1347" spans="4:8" x14ac:dyDescent="0.25">
      <c r="D1347" s="15" t="str">
        <f>IF(C1347="","",VLOOKUP(C1347,Tabela1[#All],2,0))</f>
        <v/>
      </c>
      <c r="F1347" s="16" t="str" cm="1">
        <f t="array" ref="F1347">IF(B1347="","",(IF(B1347="Compra de estoque","",(_xlfn.IFS(AND(B1347="Venda de produtos",H1347="Sul/Sudeste"),(VLOOKUP(C1347,Tabela1[#All],9,0)*E1347),AND(B1347="Venda de produtos",H1347="Nordeste"),(VLOOKUP(C1347,Tabela1[#All],11,0)*E1347),AND("Venda de produtos",H1347="Norte/Centro-Oeste"),(VLOOKUP(C1347,Tabela1[#All],13,0)*E1347))))))</f>
        <v/>
      </c>
      <c r="G1347" s="16" t="str">
        <f>IF(B1347="Compra de estoque",VLOOKUP(C1347,Tabela1[#All],4,0)*E1347,"")</f>
        <v/>
      </c>
      <c r="H1347" s="16"/>
    </row>
    <row r="1348" spans="4:8" x14ac:dyDescent="0.25">
      <c r="D1348" s="15" t="str">
        <f>IF(C1348="","",VLOOKUP(C1348,Tabela1[#All],2,0))</f>
        <v/>
      </c>
      <c r="F1348" s="16" t="str" cm="1">
        <f t="array" ref="F1348">IF(B1348="","",(IF(B1348="Compra de estoque","",(_xlfn.IFS(AND(B1348="Venda de produtos",H1348="Sul/Sudeste"),(VLOOKUP(C1348,Tabela1[#All],9,0)*E1348),AND(B1348="Venda de produtos",H1348="Nordeste"),(VLOOKUP(C1348,Tabela1[#All],11,0)*E1348),AND("Venda de produtos",H1348="Norte/Centro-Oeste"),(VLOOKUP(C1348,Tabela1[#All],13,0)*E1348))))))</f>
        <v/>
      </c>
      <c r="G1348" s="16" t="str">
        <f>IF(B1348="Compra de estoque",VLOOKUP(C1348,Tabela1[#All],4,0)*E1348,"")</f>
        <v/>
      </c>
      <c r="H1348" s="16"/>
    </row>
    <row r="1349" spans="4:8" x14ac:dyDescent="0.25">
      <c r="D1349" s="15" t="str">
        <f>IF(C1349="","",VLOOKUP(C1349,Tabela1[#All],2,0))</f>
        <v/>
      </c>
      <c r="F1349" s="16" t="str" cm="1">
        <f t="array" ref="F1349">IF(B1349="","",(IF(B1349="Compra de estoque","",(_xlfn.IFS(AND(B1349="Venda de produtos",H1349="Sul/Sudeste"),(VLOOKUP(C1349,Tabela1[#All],9,0)*E1349),AND(B1349="Venda de produtos",H1349="Nordeste"),(VLOOKUP(C1349,Tabela1[#All],11,0)*E1349),AND("Venda de produtos",H1349="Norte/Centro-Oeste"),(VLOOKUP(C1349,Tabela1[#All],13,0)*E1349))))))</f>
        <v/>
      </c>
      <c r="G1349" s="16" t="str">
        <f>IF(B1349="Compra de estoque",VLOOKUP(C1349,Tabela1[#All],4,0)*E1349,"")</f>
        <v/>
      </c>
      <c r="H1349" s="16"/>
    </row>
    <row r="1350" spans="4:8" x14ac:dyDescent="0.25">
      <c r="D1350" s="15" t="str">
        <f>IF(C1350="","",VLOOKUP(C1350,Tabela1[#All],2,0))</f>
        <v/>
      </c>
      <c r="F1350" s="16" t="str" cm="1">
        <f t="array" ref="F1350">IF(B1350="","",(IF(B1350="Compra de estoque","",(_xlfn.IFS(AND(B1350="Venda de produtos",H1350="Sul/Sudeste"),(VLOOKUP(C1350,Tabela1[#All],9,0)*E1350),AND(B1350="Venda de produtos",H1350="Nordeste"),(VLOOKUP(C1350,Tabela1[#All],11,0)*E1350),AND("Venda de produtos",H1350="Norte/Centro-Oeste"),(VLOOKUP(C1350,Tabela1[#All],13,0)*E1350))))))</f>
        <v/>
      </c>
      <c r="G1350" s="16" t="str">
        <f>IF(B1350="Compra de estoque",VLOOKUP(C1350,Tabela1[#All],4,0)*E1350,"")</f>
        <v/>
      </c>
      <c r="H1350" s="16"/>
    </row>
    <row r="1351" spans="4:8" x14ac:dyDescent="0.25">
      <c r="D1351" s="15" t="str">
        <f>IF(C1351="","",VLOOKUP(C1351,Tabela1[#All],2,0))</f>
        <v/>
      </c>
      <c r="F1351" s="16" t="str" cm="1">
        <f t="array" ref="F1351">IF(B1351="","",(IF(B1351="Compra de estoque","",(_xlfn.IFS(AND(B1351="Venda de produtos",H1351="Sul/Sudeste"),(VLOOKUP(C1351,Tabela1[#All],9,0)*E1351),AND(B1351="Venda de produtos",H1351="Nordeste"),(VLOOKUP(C1351,Tabela1[#All],11,0)*E1351),AND("Venda de produtos",H1351="Norte/Centro-Oeste"),(VLOOKUP(C1351,Tabela1[#All],13,0)*E1351))))))</f>
        <v/>
      </c>
      <c r="G1351" s="16" t="str">
        <f>IF(B1351="Compra de estoque",VLOOKUP(C1351,Tabela1[#All],4,0)*E1351,"")</f>
        <v/>
      </c>
      <c r="H1351" s="16"/>
    </row>
    <row r="1352" spans="4:8" x14ac:dyDescent="0.25">
      <c r="D1352" s="15" t="str">
        <f>IF(C1352="","",VLOOKUP(C1352,Tabela1[#All],2,0))</f>
        <v/>
      </c>
      <c r="F1352" s="16" t="str" cm="1">
        <f t="array" ref="F1352">IF(B1352="","",(IF(B1352="Compra de estoque","",(_xlfn.IFS(AND(B1352="Venda de produtos",H1352="Sul/Sudeste"),(VLOOKUP(C1352,Tabela1[#All],9,0)*E1352),AND(B1352="Venda de produtos",H1352="Nordeste"),(VLOOKUP(C1352,Tabela1[#All],11,0)*E1352),AND("Venda de produtos",H1352="Norte/Centro-Oeste"),(VLOOKUP(C1352,Tabela1[#All],13,0)*E1352))))))</f>
        <v/>
      </c>
      <c r="G1352" s="16" t="str">
        <f>IF(B1352="Compra de estoque",VLOOKUP(C1352,Tabela1[#All],4,0)*E1352,"")</f>
        <v/>
      </c>
      <c r="H1352" s="16"/>
    </row>
    <row r="1353" spans="4:8" x14ac:dyDescent="0.25">
      <c r="D1353" s="15" t="str">
        <f>IF(C1353="","",VLOOKUP(C1353,Tabela1[#All],2,0))</f>
        <v/>
      </c>
      <c r="F1353" s="16" t="str" cm="1">
        <f t="array" ref="F1353">IF(B1353="","",(IF(B1353="Compra de estoque","",(_xlfn.IFS(AND(B1353="Venda de produtos",H1353="Sul/Sudeste"),(VLOOKUP(C1353,Tabela1[#All],9,0)*E1353),AND(B1353="Venda de produtos",H1353="Nordeste"),(VLOOKUP(C1353,Tabela1[#All],11,0)*E1353),AND("Venda de produtos",H1353="Norte/Centro-Oeste"),(VLOOKUP(C1353,Tabela1[#All],13,0)*E1353))))))</f>
        <v/>
      </c>
      <c r="G1353" s="16" t="str">
        <f>IF(B1353="Compra de estoque",VLOOKUP(C1353,Tabela1[#All],4,0)*E1353,"")</f>
        <v/>
      </c>
      <c r="H1353" s="16"/>
    </row>
    <row r="1354" spans="4:8" x14ac:dyDescent="0.25">
      <c r="D1354" s="15" t="str">
        <f>IF(C1354="","",VLOOKUP(C1354,Tabela1[#All],2,0))</f>
        <v/>
      </c>
      <c r="F1354" s="16" t="str" cm="1">
        <f t="array" ref="F1354">IF(B1354="","",(IF(B1354="Compra de estoque","",(_xlfn.IFS(AND(B1354="Venda de produtos",H1354="Sul/Sudeste"),(VLOOKUP(C1354,Tabela1[#All],9,0)*E1354),AND(B1354="Venda de produtos",H1354="Nordeste"),(VLOOKUP(C1354,Tabela1[#All],11,0)*E1354),AND("Venda de produtos",H1354="Norte/Centro-Oeste"),(VLOOKUP(C1354,Tabela1[#All],13,0)*E1354))))))</f>
        <v/>
      </c>
      <c r="G1354" s="16" t="str">
        <f>IF(B1354="Compra de estoque",VLOOKUP(C1354,Tabela1[#All],4,0)*E1354,"")</f>
        <v/>
      </c>
      <c r="H1354" s="16"/>
    </row>
    <row r="1355" spans="4:8" x14ac:dyDescent="0.25">
      <c r="D1355" s="15" t="str">
        <f>IF(C1355="","",VLOOKUP(C1355,Tabela1[#All],2,0))</f>
        <v/>
      </c>
      <c r="F1355" s="16" t="str" cm="1">
        <f t="array" ref="F1355">IF(B1355="","",(IF(B1355="Compra de estoque","",(_xlfn.IFS(AND(B1355="Venda de produtos",H1355="Sul/Sudeste"),(VLOOKUP(C1355,Tabela1[#All],9,0)*E1355),AND(B1355="Venda de produtos",H1355="Nordeste"),(VLOOKUP(C1355,Tabela1[#All],11,0)*E1355),AND("Venda de produtos",H1355="Norte/Centro-Oeste"),(VLOOKUP(C1355,Tabela1[#All],13,0)*E1355))))))</f>
        <v/>
      </c>
      <c r="G1355" s="16" t="str">
        <f>IF(B1355="Compra de estoque",VLOOKUP(C1355,Tabela1[#All],4,0)*E1355,"")</f>
        <v/>
      </c>
      <c r="H1355" s="16"/>
    </row>
    <row r="1356" spans="4:8" x14ac:dyDescent="0.25">
      <c r="D1356" s="15" t="str">
        <f>IF(C1356="","",VLOOKUP(C1356,Tabela1[#All],2,0))</f>
        <v/>
      </c>
      <c r="F1356" s="16" t="str" cm="1">
        <f t="array" ref="F1356">IF(B1356="","",(IF(B1356="Compra de estoque","",(_xlfn.IFS(AND(B1356="Venda de produtos",H1356="Sul/Sudeste"),(VLOOKUP(C1356,Tabela1[#All],9,0)*E1356),AND(B1356="Venda de produtos",H1356="Nordeste"),(VLOOKUP(C1356,Tabela1[#All],11,0)*E1356),AND("Venda de produtos",H1356="Norte/Centro-Oeste"),(VLOOKUP(C1356,Tabela1[#All],13,0)*E1356))))))</f>
        <v/>
      </c>
      <c r="G1356" s="16" t="str">
        <f>IF(B1356="Compra de estoque",VLOOKUP(C1356,Tabela1[#All],4,0)*E1356,"")</f>
        <v/>
      </c>
      <c r="H1356" s="16"/>
    </row>
    <row r="1357" spans="4:8" x14ac:dyDescent="0.25">
      <c r="D1357" s="15" t="str">
        <f>IF(C1357="","",VLOOKUP(C1357,Tabela1[#All],2,0))</f>
        <v/>
      </c>
      <c r="F1357" s="16" t="str" cm="1">
        <f t="array" ref="F1357">IF(B1357="","",(IF(B1357="Compra de estoque","",(_xlfn.IFS(AND(B1357="Venda de produtos",H1357="Sul/Sudeste"),(VLOOKUP(C1357,Tabela1[#All],9,0)*E1357),AND(B1357="Venda de produtos",H1357="Nordeste"),(VLOOKUP(C1357,Tabela1[#All],11,0)*E1357),AND("Venda de produtos",H1357="Norte/Centro-Oeste"),(VLOOKUP(C1357,Tabela1[#All],13,0)*E1357))))))</f>
        <v/>
      </c>
      <c r="G1357" s="16" t="str">
        <f>IF(B1357="Compra de estoque",VLOOKUP(C1357,Tabela1[#All],4,0)*E1357,"")</f>
        <v/>
      </c>
      <c r="H1357" s="16"/>
    </row>
    <row r="1358" spans="4:8" x14ac:dyDescent="0.25">
      <c r="D1358" s="15" t="str">
        <f>IF(C1358="","",VLOOKUP(C1358,Tabela1[#All],2,0))</f>
        <v/>
      </c>
      <c r="F1358" s="16" t="str" cm="1">
        <f t="array" ref="F1358">IF(B1358="","",(IF(B1358="Compra de estoque","",(_xlfn.IFS(AND(B1358="Venda de produtos",H1358="Sul/Sudeste"),(VLOOKUP(C1358,Tabela1[#All],9,0)*E1358),AND(B1358="Venda de produtos",H1358="Nordeste"),(VLOOKUP(C1358,Tabela1[#All],11,0)*E1358),AND("Venda de produtos",H1358="Norte/Centro-Oeste"),(VLOOKUP(C1358,Tabela1[#All],13,0)*E1358))))))</f>
        <v/>
      </c>
      <c r="G1358" s="16" t="str">
        <f>IF(B1358="Compra de estoque",VLOOKUP(C1358,Tabela1[#All],4,0)*E1358,"")</f>
        <v/>
      </c>
      <c r="H1358" s="16"/>
    </row>
    <row r="1359" spans="4:8" x14ac:dyDescent="0.25">
      <c r="D1359" s="15" t="str">
        <f>IF(C1359="","",VLOOKUP(C1359,Tabela1[#All],2,0))</f>
        <v/>
      </c>
      <c r="F1359" s="16" t="str" cm="1">
        <f t="array" ref="F1359">IF(B1359="","",(IF(B1359="Compra de estoque","",(_xlfn.IFS(AND(B1359="Venda de produtos",H1359="Sul/Sudeste"),(VLOOKUP(C1359,Tabela1[#All],9,0)*E1359),AND(B1359="Venda de produtos",H1359="Nordeste"),(VLOOKUP(C1359,Tabela1[#All],11,0)*E1359),AND("Venda de produtos",H1359="Norte/Centro-Oeste"),(VLOOKUP(C1359,Tabela1[#All],13,0)*E1359))))))</f>
        <v/>
      </c>
      <c r="G1359" s="16" t="str">
        <f>IF(B1359="Compra de estoque",VLOOKUP(C1359,Tabela1[#All],4,0)*E1359,"")</f>
        <v/>
      </c>
      <c r="H1359" s="16"/>
    </row>
    <row r="1360" spans="4:8" x14ac:dyDescent="0.25">
      <c r="D1360" s="15" t="str">
        <f>IF(C1360="","",VLOOKUP(C1360,Tabela1[#All],2,0))</f>
        <v/>
      </c>
      <c r="F1360" s="16" t="str" cm="1">
        <f t="array" ref="F1360">IF(B1360="","",(IF(B1360="Compra de estoque","",(_xlfn.IFS(AND(B1360="Venda de produtos",H1360="Sul/Sudeste"),(VLOOKUP(C1360,Tabela1[#All],9,0)*E1360),AND(B1360="Venda de produtos",H1360="Nordeste"),(VLOOKUP(C1360,Tabela1[#All],11,0)*E1360),AND("Venda de produtos",H1360="Norte/Centro-Oeste"),(VLOOKUP(C1360,Tabela1[#All],13,0)*E1360))))))</f>
        <v/>
      </c>
      <c r="G1360" s="16" t="str">
        <f>IF(B1360="Compra de estoque",VLOOKUP(C1360,Tabela1[#All],4,0)*E1360,"")</f>
        <v/>
      </c>
      <c r="H1360" s="16"/>
    </row>
    <row r="1361" spans="4:8" x14ac:dyDescent="0.25">
      <c r="D1361" s="15" t="str">
        <f>IF(C1361="","",VLOOKUP(C1361,Tabela1[#All],2,0))</f>
        <v/>
      </c>
      <c r="F1361" s="16" t="str" cm="1">
        <f t="array" ref="F1361">IF(B1361="","",(IF(B1361="Compra de estoque","",(_xlfn.IFS(AND(B1361="Venda de produtos",H1361="Sul/Sudeste"),(VLOOKUP(C1361,Tabela1[#All],9,0)*E1361),AND(B1361="Venda de produtos",H1361="Nordeste"),(VLOOKUP(C1361,Tabela1[#All],11,0)*E1361),AND("Venda de produtos",H1361="Norte/Centro-Oeste"),(VLOOKUP(C1361,Tabela1[#All],13,0)*E1361))))))</f>
        <v/>
      </c>
      <c r="G1361" s="16" t="str">
        <f>IF(B1361="Compra de estoque",VLOOKUP(C1361,Tabela1[#All],4,0)*E1361,"")</f>
        <v/>
      </c>
      <c r="H1361" s="16"/>
    </row>
    <row r="1362" spans="4:8" x14ac:dyDescent="0.25">
      <c r="D1362" s="15" t="str">
        <f>IF(C1362="","",VLOOKUP(C1362,Tabela1[#All],2,0))</f>
        <v/>
      </c>
      <c r="F1362" s="16" t="str" cm="1">
        <f t="array" ref="F1362">IF(B1362="","",(IF(B1362="Compra de estoque","",(_xlfn.IFS(AND(B1362="Venda de produtos",H1362="Sul/Sudeste"),(VLOOKUP(C1362,Tabela1[#All],9,0)*E1362),AND(B1362="Venda de produtos",H1362="Nordeste"),(VLOOKUP(C1362,Tabela1[#All],11,0)*E1362),AND("Venda de produtos",H1362="Norte/Centro-Oeste"),(VLOOKUP(C1362,Tabela1[#All],13,0)*E1362))))))</f>
        <v/>
      </c>
      <c r="G1362" s="16" t="str">
        <f>IF(B1362="Compra de estoque",VLOOKUP(C1362,Tabela1[#All],4,0)*E1362,"")</f>
        <v/>
      </c>
      <c r="H1362" s="16"/>
    </row>
    <row r="1363" spans="4:8" x14ac:dyDescent="0.25">
      <c r="D1363" s="15" t="str">
        <f>IF(C1363="","",VLOOKUP(C1363,Tabela1[#All],2,0))</f>
        <v/>
      </c>
      <c r="F1363" s="16" t="str" cm="1">
        <f t="array" ref="F1363">IF(B1363="","",(IF(B1363="Compra de estoque","",(_xlfn.IFS(AND(B1363="Venda de produtos",H1363="Sul/Sudeste"),(VLOOKUP(C1363,Tabela1[#All],9,0)*E1363),AND(B1363="Venda de produtos",H1363="Nordeste"),(VLOOKUP(C1363,Tabela1[#All],11,0)*E1363),AND("Venda de produtos",H1363="Norte/Centro-Oeste"),(VLOOKUP(C1363,Tabela1[#All],13,0)*E1363))))))</f>
        <v/>
      </c>
      <c r="G1363" s="16" t="str">
        <f>IF(B1363="Compra de estoque",VLOOKUP(C1363,Tabela1[#All],4,0)*E1363,"")</f>
        <v/>
      </c>
      <c r="H1363" s="16"/>
    </row>
    <row r="1364" spans="4:8" x14ac:dyDescent="0.25">
      <c r="D1364" s="15" t="str">
        <f>IF(C1364="","",VLOOKUP(C1364,Tabela1[#All],2,0))</f>
        <v/>
      </c>
      <c r="F1364" s="16" t="str" cm="1">
        <f t="array" ref="F1364">IF(B1364="","",(IF(B1364="Compra de estoque","",(_xlfn.IFS(AND(B1364="Venda de produtos",H1364="Sul/Sudeste"),(VLOOKUP(C1364,Tabela1[#All],9,0)*E1364),AND(B1364="Venda de produtos",H1364="Nordeste"),(VLOOKUP(C1364,Tabela1[#All],11,0)*E1364),AND("Venda de produtos",H1364="Norte/Centro-Oeste"),(VLOOKUP(C1364,Tabela1[#All],13,0)*E1364))))))</f>
        <v/>
      </c>
      <c r="G1364" s="16" t="str">
        <f>IF(B1364="Compra de estoque",VLOOKUP(C1364,Tabela1[#All],4,0)*E1364,"")</f>
        <v/>
      </c>
      <c r="H1364" s="16"/>
    </row>
    <row r="1365" spans="4:8" x14ac:dyDescent="0.25">
      <c r="D1365" s="15" t="str">
        <f>IF(C1365="","",VLOOKUP(C1365,Tabela1[#All],2,0))</f>
        <v/>
      </c>
      <c r="F1365" s="16" t="str" cm="1">
        <f t="array" ref="F1365">IF(B1365="","",(IF(B1365="Compra de estoque","",(_xlfn.IFS(AND(B1365="Venda de produtos",H1365="Sul/Sudeste"),(VLOOKUP(C1365,Tabela1[#All],9,0)*E1365),AND(B1365="Venda de produtos",H1365="Nordeste"),(VLOOKUP(C1365,Tabela1[#All],11,0)*E1365),AND("Venda de produtos",H1365="Norte/Centro-Oeste"),(VLOOKUP(C1365,Tabela1[#All],13,0)*E1365))))))</f>
        <v/>
      </c>
      <c r="G1365" s="16" t="str">
        <f>IF(B1365="Compra de estoque",VLOOKUP(C1365,Tabela1[#All],4,0)*E1365,"")</f>
        <v/>
      </c>
      <c r="H1365" s="16"/>
    </row>
    <row r="1366" spans="4:8" x14ac:dyDescent="0.25">
      <c r="D1366" s="15" t="str">
        <f>IF(C1366="","",VLOOKUP(C1366,Tabela1[#All],2,0))</f>
        <v/>
      </c>
      <c r="F1366" s="16" t="str" cm="1">
        <f t="array" ref="F1366">IF(B1366="","",(IF(B1366="Compra de estoque","",(_xlfn.IFS(AND(B1366="Venda de produtos",H1366="Sul/Sudeste"),(VLOOKUP(C1366,Tabela1[#All],9,0)*E1366),AND(B1366="Venda de produtos",H1366="Nordeste"),(VLOOKUP(C1366,Tabela1[#All],11,0)*E1366),AND("Venda de produtos",H1366="Norte/Centro-Oeste"),(VLOOKUP(C1366,Tabela1[#All],13,0)*E1366))))))</f>
        <v/>
      </c>
      <c r="G1366" s="16" t="str">
        <f>IF(B1366="Compra de estoque",VLOOKUP(C1366,Tabela1[#All],4,0)*E1366,"")</f>
        <v/>
      </c>
      <c r="H1366" s="16"/>
    </row>
    <row r="1367" spans="4:8" x14ac:dyDescent="0.25">
      <c r="D1367" s="15" t="str">
        <f>IF(C1367="","",VLOOKUP(C1367,Tabela1[#All],2,0))</f>
        <v/>
      </c>
      <c r="F1367" s="16" t="str" cm="1">
        <f t="array" ref="F1367">IF(B1367="","",(IF(B1367="Compra de estoque","",(_xlfn.IFS(AND(B1367="Venda de produtos",H1367="Sul/Sudeste"),(VLOOKUP(C1367,Tabela1[#All],9,0)*E1367),AND(B1367="Venda de produtos",H1367="Nordeste"),(VLOOKUP(C1367,Tabela1[#All],11,0)*E1367),AND("Venda de produtos",H1367="Norte/Centro-Oeste"),(VLOOKUP(C1367,Tabela1[#All],13,0)*E1367))))))</f>
        <v/>
      </c>
      <c r="G1367" s="16" t="str">
        <f>IF(B1367="Compra de estoque",VLOOKUP(C1367,Tabela1[#All],4,0)*E1367,"")</f>
        <v/>
      </c>
      <c r="H1367" s="16"/>
    </row>
    <row r="1368" spans="4:8" x14ac:dyDescent="0.25">
      <c r="D1368" s="15" t="str">
        <f>IF(C1368="","",VLOOKUP(C1368,Tabela1[#All],2,0))</f>
        <v/>
      </c>
      <c r="F1368" s="16" t="str" cm="1">
        <f t="array" ref="F1368">IF(B1368="","",(IF(B1368="Compra de estoque","",(_xlfn.IFS(AND(B1368="Venda de produtos",H1368="Sul/Sudeste"),(VLOOKUP(C1368,Tabela1[#All],9,0)*E1368),AND(B1368="Venda de produtos",H1368="Nordeste"),(VLOOKUP(C1368,Tabela1[#All],11,0)*E1368),AND("Venda de produtos",H1368="Norte/Centro-Oeste"),(VLOOKUP(C1368,Tabela1[#All],13,0)*E1368))))))</f>
        <v/>
      </c>
      <c r="G1368" s="16" t="str">
        <f>IF(B1368="Compra de estoque",VLOOKUP(C1368,Tabela1[#All],4,0)*E1368,"")</f>
        <v/>
      </c>
      <c r="H1368" s="16"/>
    </row>
    <row r="1369" spans="4:8" x14ac:dyDescent="0.25">
      <c r="D1369" s="15" t="str">
        <f>IF(C1369="","",VLOOKUP(C1369,Tabela1[#All],2,0))</f>
        <v/>
      </c>
      <c r="F1369" s="16" t="str" cm="1">
        <f t="array" ref="F1369">IF(B1369="","",(IF(B1369="Compra de estoque","",(_xlfn.IFS(AND(B1369="Venda de produtos",H1369="Sul/Sudeste"),(VLOOKUP(C1369,Tabela1[#All],9,0)*E1369),AND(B1369="Venda de produtos",H1369="Nordeste"),(VLOOKUP(C1369,Tabela1[#All],11,0)*E1369),AND("Venda de produtos",H1369="Norte/Centro-Oeste"),(VLOOKUP(C1369,Tabela1[#All],13,0)*E1369))))))</f>
        <v/>
      </c>
      <c r="G1369" s="16" t="str">
        <f>IF(B1369="Compra de estoque",VLOOKUP(C1369,Tabela1[#All],4,0)*E1369,"")</f>
        <v/>
      </c>
      <c r="H1369" s="16"/>
    </row>
    <row r="1370" spans="4:8" x14ac:dyDescent="0.25">
      <c r="D1370" s="15" t="str">
        <f>IF(C1370="","",VLOOKUP(C1370,Tabela1[#All],2,0))</f>
        <v/>
      </c>
      <c r="F1370" s="16" t="str" cm="1">
        <f t="array" ref="F1370">IF(B1370="","",(IF(B1370="Compra de estoque","",(_xlfn.IFS(AND(B1370="Venda de produtos",H1370="Sul/Sudeste"),(VLOOKUP(C1370,Tabela1[#All],9,0)*E1370),AND(B1370="Venda de produtos",H1370="Nordeste"),(VLOOKUP(C1370,Tabela1[#All],11,0)*E1370),AND("Venda de produtos",H1370="Norte/Centro-Oeste"),(VLOOKUP(C1370,Tabela1[#All],13,0)*E1370))))))</f>
        <v/>
      </c>
      <c r="G1370" s="16" t="str">
        <f>IF(B1370="Compra de estoque",VLOOKUP(C1370,Tabela1[#All],4,0)*E1370,"")</f>
        <v/>
      </c>
      <c r="H1370" s="16"/>
    </row>
    <row r="1371" spans="4:8" x14ac:dyDescent="0.25">
      <c r="D1371" s="15" t="str">
        <f>IF(C1371="","",VLOOKUP(C1371,Tabela1[#All],2,0))</f>
        <v/>
      </c>
      <c r="F1371" s="16" t="str" cm="1">
        <f t="array" ref="F1371">IF(B1371="","",(IF(B1371="Compra de estoque","",(_xlfn.IFS(AND(B1371="Venda de produtos",H1371="Sul/Sudeste"),(VLOOKUP(C1371,Tabela1[#All],9,0)*E1371),AND(B1371="Venda de produtos",H1371="Nordeste"),(VLOOKUP(C1371,Tabela1[#All],11,0)*E1371),AND("Venda de produtos",H1371="Norte/Centro-Oeste"),(VLOOKUP(C1371,Tabela1[#All],13,0)*E1371))))))</f>
        <v/>
      </c>
      <c r="G1371" s="16" t="str">
        <f>IF(B1371="Compra de estoque",VLOOKUP(C1371,Tabela1[#All],4,0)*E1371,"")</f>
        <v/>
      </c>
      <c r="H1371" s="16"/>
    </row>
    <row r="1372" spans="4:8" x14ac:dyDescent="0.25">
      <c r="D1372" s="15" t="str">
        <f>IF(C1372="","",VLOOKUP(C1372,Tabela1[#All],2,0))</f>
        <v/>
      </c>
      <c r="F1372" s="16" t="str" cm="1">
        <f t="array" ref="F1372">IF(B1372="","",(IF(B1372="Compra de estoque","",(_xlfn.IFS(AND(B1372="Venda de produtos",H1372="Sul/Sudeste"),(VLOOKUP(C1372,Tabela1[#All],9,0)*E1372),AND(B1372="Venda de produtos",H1372="Nordeste"),(VLOOKUP(C1372,Tabela1[#All],11,0)*E1372),AND("Venda de produtos",H1372="Norte/Centro-Oeste"),(VLOOKUP(C1372,Tabela1[#All],13,0)*E1372))))))</f>
        <v/>
      </c>
      <c r="G1372" s="16" t="str">
        <f>IF(B1372="Compra de estoque",VLOOKUP(C1372,Tabela1[#All],4,0)*E1372,"")</f>
        <v/>
      </c>
      <c r="H1372" s="16"/>
    </row>
    <row r="1373" spans="4:8" x14ac:dyDescent="0.25">
      <c r="D1373" s="15" t="str">
        <f>IF(C1373="","",VLOOKUP(C1373,Tabela1[#All],2,0))</f>
        <v/>
      </c>
      <c r="F1373" s="16" t="str" cm="1">
        <f t="array" ref="F1373">IF(B1373="","",(IF(B1373="Compra de estoque","",(_xlfn.IFS(AND(B1373="Venda de produtos",H1373="Sul/Sudeste"),(VLOOKUP(C1373,Tabela1[#All],9,0)*E1373),AND(B1373="Venda de produtos",H1373="Nordeste"),(VLOOKUP(C1373,Tabela1[#All],11,0)*E1373),AND("Venda de produtos",H1373="Norte/Centro-Oeste"),(VLOOKUP(C1373,Tabela1[#All],13,0)*E1373))))))</f>
        <v/>
      </c>
      <c r="G1373" s="16" t="str">
        <f>IF(B1373="Compra de estoque",VLOOKUP(C1373,Tabela1[#All],4,0)*E1373,"")</f>
        <v/>
      </c>
      <c r="H1373" s="16"/>
    </row>
    <row r="1374" spans="4:8" x14ac:dyDescent="0.25">
      <c r="D1374" s="15" t="str">
        <f>IF(C1374="","",VLOOKUP(C1374,Tabela1[#All],2,0))</f>
        <v/>
      </c>
      <c r="F1374" s="16" t="str" cm="1">
        <f t="array" ref="F1374">IF(B1374="","",(IF(B1374="Compra de estoque","",(_xlfn.IFS(AND(B1374="Venda de produtos",H1374="Sul/Sudeste"),(VLOOKUP(C1374,Tabela1[#All],9,0)*E1374),AND(B1374="Venda de produtos",H1374="Nordeste"),(VLOOKUP(C1374,Tabela1[#All],11,0)*E1374),AND("Venda de produtos",H1374="Norte/Centro-Oeste"),(VLOOKUP(C1374,Tabela1[#All],13,0)*E1374))))))</f>
        <v/>
      </c>
      <c r="G1374" s="16" t="str">
        <f>IF(B1374="Compra de estoque",VLOOKUP(C1374,Tabela1[#All],4,0)*E1374,"")</f>
        <v/>
      </c>
      <c r="H1374" s="16"/>
    </row>
    <row r="1375" spans="4:8" x14ac:dyDescent="0.25">
      <c r="D1375" s="15" t="str">
        <f>IF(C1375="","",VLOOKUP(C1375,Tabela1[#All],2,0))</f>
        <v/>
      </c>
      <c r="F1375" s="16" t="str" cm="1">
        <f t="array" ref="F1375">IF(B1375="","",(IF(B1375="Compra de estoque","",(_xlfn.IFS(AND(B1375="Venda de produtos",H1375="Sul/Sudeste"),(VLOOKUP(C1375,Tabela1[#All],9,0)*E1375),AND(B1375="Venda de produtos",H1375="Nordeste"),(VLOOKUP(C1375,Tabela1[#All],11,0)*E1375),AND("Venda de produtos",H1375="Norte/Centro-Oeste"),(VLOOKUP(C1375,Tabela1[#All],13,0)*E1375))))))</f>
        <v/>
      </c>
      <c r="G1375" s="16" t="str">
        <f>IF(B1375="Compra de estoque",VLOOKUP(C1375,Tabela1[#All],4,0)*E1375,"")</f>
        <v/>
      </c>
      <c r="H1375" s="16"/>
    </row>
    <row r="1376" spans="4:8" x14ac:dyDescent="0.25">
      <c r="D1376" s="15" t="str">
        <f>IF(C1376="","",VLOOKUP(C1376,Tabela1[#All],2,0))</f>
        <v/>
      </c>
      <c r="F1376" s="16" t="str" cm="1">
        <f t="array" ref="F1376">IF(B1376="","",(IF(B1376="Compra de estoque","",(_xlfn.IFS(AND(B1376="Venda de produtos",H1376="Sul/Sudeste"),(VLOOKUP(C1376,Tabela1[#All],9,0)*E1376),AND(B1376="Venda de produtos",H1376="Nordeste"),(VLOOKUP(C1376,Tabela1[#All],11,0)*E1376),AND("Venda de produtos",H1376="Norte/Centro-Oeste"),(VLOOKUP(C1376,Tabela1[#All],13,0)*E1376))))))</f>
        <v/>
      </c>
      <c r="G1376" s="16" t="str">
        <f>IF(B1376="Compra de estoque",VLOOKUP(C1376,Tabela1[#All],4,0)*E1376,"")</f>
        <v/>
      </c>
      <c r="H1376" s="16"/>
    </row>
    <row r="1377" spans="4:8" x14ac:dyDescent="0.25">
      <c r="D1377" s="15" t="str">
        <f>IF(C1377="","",VLOOKUP(C1377,Tabela1[#All],2,0))</f>
        <v/>
      </c>
      <c r="F1377" s="16" t="str" cm="1">
        <f t="array" ref="F1377">IF(B1377="","",(IF(B1377="Compra de estoque","",(_xlfn.IFS(AND(B1377="Venda de produtos",H1377="Sul/Sudeste"),(VLOOKUP(C1377,Tabela1[#All],9,0)*E1377),AND(B1377="Venda de produtos",H1377="Nordeste"),(VLOOKUP(C1377,Tabela1[#All],11,0)*E1377),AND("Venda de produtos",H1377="Norte/Centro-Oeste"),(VLOOKUP(C1377,Tabela1[#All],13,0)*E1377))))))</f>
        <v/>
      </c>
      <c r="G1377" s="16" t="str">
        <f>IF(B1377="Compra de estoque",VLOOKUP(C1377,Tabela1[#All],4,0)*E1377,"")</f>
        <v/>
      </c>
      <c r="H1377" s="16"/>
    </row>
    <row r="1378" spans="4:8" x14ac:dyDescent="0.25">
      <c r="D1378" s="15" t="str">
        <f>IF(C1378="","",VLOOKUP(C1378,Tabela1[#All],2,0))</f>
        <v/>
      </c>
      <c r="F1378" s="16" t="str" cm="1">
        <f t="array" ref="F1378">IF(B1378="","",(IF(B1378="Compra de estoque","",(_xlfn.IFS(AND(B1378="Venda de produtos",H1378="Sul/Sudeste"),(VLOOKUP(C1378,Tabela1[#All],9,0)*E1378),AND(B1378="Venda de produtos",H1378="Nordeste"),(VLOOKUP(C1378,Tabela1[#All],11,0)*E1378),AND("Venda de produtos",H1378="Norte/Centro-Oeste"),(VLOOKUP(C1378,Tabela1[#All],13,0)*E1378))))))</f>
        <v/>
      </c>
      <c r="G1378" s="16" t="str">
        <f>IF(B1378="Compra de estoque",VLOOKUP(C1378,Tabela1[#All],4,0)*E1378,"")</f>
        <v/>
      </c>
      <c r="H1378" s="16"/>
    </row>
    <row r="1379" spans="4:8" x14ac:dyDescent="0.25">
      <c r="D1379" s="15" t="str">
        <f>IF(C1379="","",VLOOKUP(C1379,Tabela1[#All],2,0))</f>
        <v/>
      </c>
      <c r="F1379" s="16" t="str" cm="1">
        <f t="array" ref="F1379">IF(B1379="","",(IF(B1379="Compra de estoque","",(_xlfn.IFS(AND(B1379="Venda de produtos",H1379="Sul/Sudeste"),(VLOOKUP(C1379,Tabela1[#All],9,0)*E1379),AND(B1379="Venda de produtos",H1379="Nordeste"),(VLOOKUP(C1379,Tabela1[#All],11,0)*E1379),AND("Venda de produtos",H1379="Norte/Centro-Oeste"),(VLOOKUP(C1379,Tabela1[#All],13,0)*E1379))))))</f>
        <v/>
      </c>
      <c r="G1379" s="16" t="str">
        <f>IF(B1379="Compra de estoque",VLOOKUP(C1379,Tabela1[#All],4,0)*E1379,"")</f>
        <v/>
      </c>
      <c r="H1379" s="16"/>
    </row>
    <row r="1380" spans="4:8" x14ac:dyDescent="0.25">
      <c r="D1380" s="15" t="str">
        <f>IF(C1380="","",VLOOKUP(C1380,Tabela1[#All],2,0))</f>
        <v/>
      </c>
      <c r="F1380" s="16" t="str" cm="1">
        <f t="array" ref="F1380">IF(B1380="","",(IF(B1380="Compra de estoque","",(_xlfn.IFS(AND(B1380="Venda de produtos",H1380="Sul/Sudeste"),(VLOOKUP(C1380,Tabela1[#All],9,0)*E1380),AND(B1380="Venda de produtos",H1380="Nordeste"),(VLOOKUP(C1380,Tabela1[#All],11,0)*E1380),AND("Venda de produtos",H1380="Norte/Centro-Oeste"),(VLOOKUP(C1380,Tabela1[#All],13,0)*E1380))))))</f>
        <v/>
      </c>
      <c r="G1380" s="16" t="str">
        <f>IF(B1380="Compra de estoque",VLOOKUP(C1380,Tabela1[#All],4,0)*E1380,"")</f>
        <v/>
      </c>
      <c r="H1380" s="16"/>
    </row>
    <row r="1381" spans="4:8" x14ac:dyDescent="0.25">
      <c r="D1381" s="15" t="str">
        <f>IF(C1381="","",VLOOKUP(C1381,Tabela1[#All],2,0))</f>
        <v/>
      </c>
      <c r="F1381" s="16" t="str" cm="1">
        <f t="array" ref="F1381">IF(B1381="","",(IF(B1381="Compra de estoque","",(_xlfn.IFS(AND(B1381="Venda de produtos",H1381="Sul/Sudeste"),(VLOOKUP(C1381,Tabela1[#All],9,0)*E1381),AND(B1381="Venda de produtos",H1381="Nordeste"),(VLOOKUP(C1381,Tabela1[#All],11,0)*E1381),AND("Venda de produtos",H1381="Norte/Centro-Oeste"),(VLOOKUP(C1381,Tabela1[#All],13,0)*E1381))))))</f>
        <v/>
      </c>
      <c r="G1381" s="16" t="str">
        <f>IF(B1381="Compra de estoque",VLOOKUP(C1381,Tabela1[#All],4,0)*E1381,"")</f>
        <v/>
      </c>
      <c r="H1381" s="16"/>
    </row>
    <row r="1382" spans="4:8" x14ac:dyDescent="0.25">
      <c r="D1382" s="15" t="str">
        <f>IF(C1382="","",VLOOKUP(C1382,Tabela1[#All],2,0))</f>
        <v/>
      </c>
      <c r="F1382" s="16" t="str" cm="1">
        <f t="array" ref="F1382">IF(B1382="","",(IF(B1382="Compra de estoque","",(_xlfn.IFS(AND(B1382="Venda de produtos",H1382="Sul/Sudeste"),(VLOOKUP(C1382,Tabela1[#All],9,0)*E1382),AND(B1382="Venda de produtos",H1382="Nordeste"),(VLOOKUP(C1382,Tabela1[#All],11,0)*E1382),AND("Venda de produtos",H1382="Norte/Centro-Oeste"),(VLOOKUP(C1382,Tabela1[#All],13,0)*E1382))))))</f>
        <v/>
      </c>
      <c r="G1382" s="16" t="str">
        <f>IF(B1382="Compra de estoque",VLOOKUP(C1382,Tabela1[#All],4,0)*E1382,"")</f>
        <v/>
      </c>
      <c r="H1382" s="16"/>
    </row>
    <row r="1383" spans="4:8" x14ac:dyDescent="0.25">
      <c r="D1383" s="15" t="str">
        <f>IF(C1383="","",VLOOKUP(C1383,Tabela1[#All],2,0))</f>
        <v/>
      </c>
      <c r="F1383" s="16" t="str" cm="1">
        <f t="array" ref="F1383">IF(B1383="","",(IF(B1383="Compra de estoque","",(_xlfn.IFS(AND(B1383="Venda de produtos",H1383="Sul/Sudeste"),(VLOOKUP(C1383,Tabela1[#All],9,0)*E1383),AND(B1383="Venda de produtos",H1383="Nordeste"),(VLOOKUP(C1383,Tabela1[#All],11,0)*E1383),AND("Venda de produtos",H1383="Norte/Centro-Oeste"),(VLOOKUP(C1383,Tabela1[#All],13,0)*E1383))))))</f>
        <v/>
      </c>
      <c r="G1383" s="16" t="str">
        <f>IF(B1383="Compra de estoque",VLOOKUP(C1383,Tabela1[#All],4,0)*E1383,"")</f>
        <v/>
      </c>
      <c r="H1383" s="16"/>
    </row>
    <row r="1384" spans="4:8" x14ac:dyDescent="0.25">
      <c r="D1384" s="15" t="str">
        <f>IF(C1384="","",VLOOKUP(C1384,Tabela1[#All],2,0))</f>
        <v/>
      </c>
      <c r="F1384" s="16" t="str" cm="1">
        <f t="array" ref="F1384">IF(B1384="","",(IF(B1384="Compra de estoque","",(_xlfn.IFS(AND(B1384="Venda de produtos",H1384="Sul/Sudeste"),(VLOOKUP(C1384,Tabela1[#All],9,0)*E1384),AND(B1384="Venda de produtos",H1384="Nordeste"),(VLOOKUP(C1384,Tabela1[#All],11,0)*E1384),AND("Venda de produtos",H1384="Norte/Centro-Oeste"),(VLOOKUP(C1384,Tabela1[#All],13,0)*E1384))))))</f>
        <v/>
      </c>
      <c r="G1384" s="16" t="str">
        <f>IF(B1384="Compra de estoque",VLOOKUP(C1384,Tabela1[#All],4,0)*E1384,"")</f>
        <v/>
      </c>
      <c r="H1384" s="16"/>
    </row>
    <row r="1385" spans="4:8" x14ac:dyDescent="0.25">
      <c r="D1385" s="15" t="str">
        <f>IF(C1385="","",VLOOKUP(C1385,Tabela1[#All],2,0))</f>
        <v/>
      </c>
      <c r="F1385" s="16" t="str" cm="1">
        <f t="array" ref="F1385">IF(B1385="","",(IF(B1385="Compra de estoque","",(_xlfn.IFS(AND(B1385="Venda de produtos",H1385="Sul/Sudeste"),(VLOOKUP(C1385,Tabela1[#All],9,0)*E1385),AND(B1385="Venda de produtos",H1385="Nordeste"),(VLOOKUP(C1385,Tabela1[#All],11,0)*E1385),AND("Venda de produtos",H1385="Norte/Centro-Oeste"),(VLOOKUP(C1385,Tabela1[#All],13,0)*E1385))))))</f>
        <v/>
      </c>
      <c r="G1385" s="16" t="str">
        <f>IF(B1385="Compra de estoque",VLOOKUP(C1385,Tabela1[#All],4,0)*E1385,"")</f>
        <v/>
      </c>
      <c r="H1385" s="16"/>
    </row>
    <row r="1386" spans="4:8" x14ac:dyDescent="0.25">
      <c r="D1386" s="15" t="str">
        <f>IF(C1386="","",VLOOKUP(C1386,Tabela1[#All],2,0))</f>
        <v/>
      </c>
      <c r="F1386" s="16" t="str" cm="1">
        <f t="array" ref="F1386">IF(B1386="","",(IF(B1386="Compra de estoque","",(_xlfn.IFS(AND(B1386="Venda de produtos",H1386="Sul/Sudeste"),(VLOOKUP(C1386,Tabela1[#All],9,0)*E1386),AND(B1386="Venda de produtos",H1386="Nordeste"),(VLOOKUP(C1386,Tabela1[#All],11,0)*E1386),AND("Venda de produtos",H1386="Norte/Centro-Oeste"),(VLOOKUP(C1386,Tabela1[#All],13,0)*E1386))))))</f>
        <v/>
      </c>
      <c r="G1386" s="16" t="str">
        <f>IF(B1386="Compra de estoque",VLOOKUP(C1386,Tabela1[#All],4,0)*E1386,"")</f>
        <v/>
      </c>
      <c r="H1386" s="16"/>
    </row>
    <row r="1387" spans="4:8" x14ac:dyDescent="0.25">
      <c r="D1387" s="15" t="str">
        <f>IF(C1387="","",VLOOKUP(C1387,Tabela1[#All],2,0))</f>
        <v/>
      </c>
      <c r="F1387" s="16" t="str" cm="1">
        <f t="array" ref="F1387">IF(B1387="","",(IF(B1387="Compra de estoque","",(_xlfn.IFS(AND(B1387="Venda de produtos",H1387="Sul/Sudeste"),(VLOOKUP(C1387,Tabela1[#All],9,0)*E1387),AND(B1387="Venda de produtos",H1387="Nordeste"),(VLOOKUP(C1387,Tabela1[#All],11,0)*E1387),AND("Venda de produtos",H1387="Norte/Centro-Oeste"),(VLOOKUP(C1387,Tabela1[#All],13,0)*E1387))))))</f>
        <v/>
      </c>
      <c r="G1387" s="16" t="str">
        <f>IF(B1387="Compra de estoque",VLOOKUP(C1387,Tabela1[#All],4,0)*E1387,"")</f>
        <v/>
      </c>
      <c r="H1387" s="16"/>
    </row>
    <row r="1388" spans="4:8" x14ac:dyDescent="0.25">
      <c r="D1388" s="15" t="str">
        <f>IF(C1388="","",VLOOKUP(C1388,Tabela1[#All],2,0))</f>
        <v/>
      </c>
      <c r="F1388" s="16" t="str" cm="1">
        <f t="array" ref="F1388">IF(B1388="","",(IF(B1388="Compra de estoque","",(_xlfn.IFS(AND(B1388="Venda de produtos",H1388="Sul/Sudeste"),(VLOOKUP(C1388,Tabela1[#All],9,0)*E1388),AND(B1388="Venda de produtos",H1388="Nordeste"),(VLOOKUP(C1388,Tabela1[#All],11,0)*E1388),AND("Venda de produtos",H1388="Norte/Centro-Oeste"),(VLOOKUP(C1388,Tabela1[#All],13,0)*E1388))))))</f>
        <v/>
      </c>
      <c r="G1388" s="16" t="str">
        <f>IF(B1388="Compra de estoque",VLOOKUP(C1388,Tabela1[#All],4,0)*E1388,"")</f>
        <v/>
      </c>
      <c r="H1388" s="16"/>
    </row>
    <row r="1389" spans="4:8" x14ac:dyDescent="0.25">
      <c r="D1389" s="15" t="str">
        <f>IF(C1389="","",VLOOKUP(C1389,Tabela1[#All],2,0))</f>
        <v/>
      </c>
      <c r="F1389" s="16" t="str" cm="1">
        <f t="array" ref="F1389">IF(B1389="","",(IF(B1389="Compra de estoque","",(_xlfn.IFS(AND(B1389="Venda de produtos",H1389="Sul/Sudeste"),(VLOOKUP(C1389,Tabela1[#All],9,0)*E1389),AND(B1389="Venda de produtos",H1389="Nordeste"),(VLOOKUP(C1389,Tabela1[#All],11,0)*E1389),AND("Venda de produtos",H1389="Norte/Centro-Oeste"),(VLOOKUP(C1389,Tabela1[#All],13,0)*E1389))))))</f>
        <v/>
      </c>
      <c r="G1389" s="16" t="str">
        <f>IF(B1389="Compra de estoque",VLOOKUP(C1389,Tabela1[#All],4,0)*E1389,"")</f>
        <v/>
      </c>
      <c r="H1389" s="16"/>
    </row>
    <row r="1390" spans="4:8" x14ac:dyDescent="0.25">
      <c r="D1390" s="15" t="str">
        <f>IF(C1390="","",VLOOKUP(C1390,Tabela1[#All],2,0))</f>
        <v/>
      </c>
      <c r="F1390" s="16" t="str" cm="1">
        <f t="array" ref="F1390">IF(B1390="","",(IF(B1390="Compra de estoque","",(_xlfn.IFS(AND(B1390="Venda de produtos",H1390="Sul/Sudeste"),(VLOOKUP(C1390,Tabela1[#All],9,0)*E1390),AND(B1390="Venda de produtos",H1390="Nordeste"),(VLOOKUP(C1390,Tabela1[#All],11,0)*E1390),AND("Venda de produtos",H1390="Norte/Centro-Oeste"),(VLOOKUP(C1390,Tabela1[#All],13,0)*E1390))))))</f>
        <v/>
      </c>
      <c r="G1390" s="16" t="str">
        <f>IF(B1390="Compra de estoque",VLOOKUP(C1390,Tabela1[#All],4,0)*E1390,"")</f>
        <v/>
      </c>
      <c r="H1390" s="16"/>
    </row>
    <row r="1391" spans="4:8" x14ac:dyDescent="0.25">
      <c r="D1391" s="15" t="str">
        <f>IF(C1391="","",VLOOKUP(C1391,Tabela1[#All],2,0))</f>
        <v/>
      </c>
      <c r="F1391" s="16" t="str" cm="1">
        <f t="array" ref="F1391">IF(B1391="","",(IF(B1391="Compra de estoque","",(_xlfn.IFS(AND(B1391="Venda de produtos",H1391="Sul/Sudeste"),(VLOOKUP(C1391,Tabela1[#All],9,0)*E1391),AND(B1391="Venda de produtos",H1391="Nordeste"),(VLOOKUP(C1391,Tabela1[#All],11,0)*E1391),AND("Venda de produtos",H1391="Norte/Centro-Oeste"),(VLOOKUP(C1391,Tabela1[#All],13,0)*E1391))))))</f>
        <v/>
      </c>
      <c r="G1391" s="16" t="str">
        <f>IF(B1391="Compra de estoque",VLOOKUP(C1391,Tabela1[#All],4,0)*E1391,"")</f>
        <v/>
      </c>
      <c r="H1391" s="16"/>
    </row>
    <row r="1392" spans="4:8" x14ac:dyDescent="0.25">
      <c r="D1392" s="15" t="str">
        <f>IF(C1392="","",VLOOKUP(C1392,Tabela1[#All],2,0))</f>
        <v/>
      </c>
      <c r="F1392" s="16" t="str" cm="1">
        <f t="array" ref="F1392">IF(B1392="","",(IF(B1392="Compra de estoque","",(_xlfn.IFS(AND(B1392="Venda de produtos",H1392="Sul/Sudeste"),(VLOOKUP(C1392,Tabela1[#All],9,0)*E1392),AND(B1392="Venda de produtos",H1392="Nordeste"),(VLOOKUP(C1392,Tabela1[#All],11,0)*E1392),AND("Venda de produtos",H1392="Norte/Centro-Oeste"),(VLOOKUP(C1392,Tabela1[#All],13,0)*E1392))))))</f>
        <v/>
      </c>
      <c r="G1392" s="16" t="str">
        <f>IF(B1392="Compra de estoque",VLOOKUP(C1392,Tabela1[#All],4,0)*E1392,"")</f>
        <v/>
      </c>
      <c r="H1392" s="16"/>
    </row>
    <row r="1393" spans="4:8" x14ac:dyDescent="0.25">
      <c r="D1393" s="15" t="str">
        <f>IF(C1393="","",VLOOKUP(C1393,Tabela1[#All],2,0))</f>
        <v/>
      </c>
      <c r="F1393" s="16" t="str" cm="1">
        <f t="array" ref="F1393">IF(B1393="","",(IF(B1393="Compra de estoque","",(_xlfn.IFS(AND(B1393="Venda de produtos",H1393="Sul/Sudeste"),(VLOOKUP(C1393,Tabela1[#All],9,0)*E1393),AND(B1393="Venda de produtos",H1393="Nordeste"),(VLOOKUP(C1393,Tabela1[#All],11,0)*E1393),AND("Venda de produtos",H1393="Norte/Centro-Oeste"),(VLOOKUP(C1393,Tabela1[#All],13,0)*E1393))))))</f>
        <v/>
      </c>
      <c r="G1393" s="16" t="str">
        <f>IF(B1393="Compra de estoque",VLOOKUP(C1393,Tabela1[#All],4,0)*E1393,"")</f>
        <v/>
      </c>
      <c r="H1393" s="16"/>
    </row>
    <row r="1394" spans="4:8" x14ac:dyDescent="0.25">
      <c r="D1394" s="15" t="str">
        <f>IF(C1394="","",VLOOKUP(C1394,Tabela1[#All],2,0))</f>
        <v/>
      </c>
      <c r="F1394" s="16" t="str" cm="1">
        <f t="array" ref="F1394">IF(B1394="","",(IF(B1394="Compra de estoque","",(_xlfn.IFS(AND(B1394="Venda de produtos",H1394="Sul/Sudeste"),(VLOOKUP(C1394,Tabela1[#All],9,0)*E1394),AND(B1394="Venda de produtos",H1394="Nordeste"),(VLOOKUP(C1394,Tabela1[#All],11,0)*E1394),AND("Venda de produtos",H1394="Norte/Centro-Oeste"),(VLOOKUP(C1394,Tabela1[#All],13,0)*E1394))))))</f>
        <v/>
      </c>
      <c r="G1394" s="16" t="str">
        <f>IF(B1394="Compra de estoque",VLOOKUP(C1394,Tabela1[#All],4,0)*E1394,"")</f>
        <v/>
      </c>
      <c r="H1394" s="16"/>
    </row>
    <row r="1395" spans="4:8" x14ac:dyDescent="0.25">
      <c r="D1395" s="15" t="str">
        <f>IF(C1395="","",VLOOKUP(C1395,Tabela1[#All],2,0))</f>
        <v/>
      </c>
      <c r="F1395" s="16" t="str" cm="1">
        <f t="array" ref="F1395">IF(B1395="","",(IF(B1395="Compra de estoque","",(_xlfn.IFS(AND(B1395="Venda de produtos",H1395="Sul/Sudeste"),(VLOOKUP(C1395,Tabela1[#All],9,0)*E1395),AND(B1395="Venda de produtos",H1395="Nordeste"),(VLOOKUP(C1395,Tabela1[#All],11,0)*E1395),AND("Venda de produtos",H1395="Norte/Centro-Oeste"),(VLOOKUP(C1395,Tabela1[#All],13,0)*E1395))))))</f>
        <v/>
      </c>
      <c r="G1395" s="16" t="str">
        <f>IF(B1395="Compra de estoque",VLOOKUP(C1395,Tabela1[#All],4,0)*E1395,"")</f>
        <v/>
      </c>
      <c r="H1395" s="16"/>
    </row>
    <row r="1396" spans="4:8" x14ac:dyDescent="0.25">
      <c r="D1396" s="15" t="str">
        <f>IF(C1396="","",VLOOKUP(C1396,Tabela1[#All],2,0))</f>
        <v/>
      </c>
      <c r="F1396" s="16" t="str" cm="1">
        <f t="array" ref="F1396">IF(B1396="","",(IF(B1396="Compra de estoque","",(_xlfn.IFS(AND(B1396="Venda de produtos",H1396="Sul/Sudeste"),(VLOOKUP(C1396,Tabela1[#All],9,0)*E1396),AND(B1396="Venda de produtos",H1396="Nordeste"),(VLOOKUP(C1396,Tabela1[#All],11,0)*E1396),AND("Venda de produtos",H1396="Norte/Centro-Oeste"),(VLOOKUP(C1396,Tabela1[#All],13,0)*E1396))))))</f>
        <v/>
      </c>
      <c r="G1396" s="16" t="str">
        <f>IF(B1396="Compra de estoque",VLOOKUP(C1396,Tabela1[#All],4,0)*E1396,"")</f>
        <v/>
      </c>
      <c r="H1396" s="16"/>
    </row>
    <row r="1397" spans="4:8" x14ac:dyDescent="0.25">
      <c r="D1397" s="15" t="str">
        <f>IF(C1397="","",VLOOKUP(C1397,Tabela1[#All],2,0))</f>
        <v/>
      </c>
      <c r="F1397" s="16" t="str" cm="1">
        <f t="array" ref="F1397">IF(B1397="","",(IF(B1397="Compra de estoque","",(_xlfn.IFS(AND(B1397="Venda de produtos",H1397="Sul/Sudeste"),(VLOOKUP(C1397,Tabela1[#All],9,0)*E1397),AND(B1397="Venda de produtos",H1397="Nordeste"),(VLOOKUP(C1397,Tabela1[#All],11,0)*E1397),AND("Venda de produtos",H1397="Norte/Centro-Oeste"),(VLOOKUP(C1397,Tabela1[#All],13,0)*E1397))))))</f>
        <v/>
      </c>
      <c r="G1397" s="16" t="str">
        <f>IF(B1397="Compra de estoque",VLOOKUP(C1397,Tabela1[#All],4,0)*E1397,"")</f>
        <v/>
      </c>
      <c r="H1397" s="16"/>
    </row>
    <row r="1398" spans="4:8" x14ac:dyDescent="0.25">
      <c r="D1398" s="15" t="str">
        <f>IF(C1398="","",VLOOKUP(C1398,Tabela1[#All],2,0))</f>
        <v/>
      </c>
      <c r="F1398" s="16" t="str" cm="1">
        <f t="array" ref="F1398">IF(B1398="","",(IF(B1398="Compra de estoque","",(_xlfn.IFS(AND(B1398="Venda de produtos",H1398="Sul/Sudeste"),(VLOOKUP(C1398,Tabela1[#All],9,0)*E1398),AND(B1398="Venda de produtos",H1398="Nordeste"),(VLOOKUP(C1398,Tabela1[#All],11,0)*E1398),AND("Venda de produtos",H1398="Norte/Centro-Oeste"),(VLOOKUP(C1398,Tabela1[#All],13,0)*E1398))))))</f>
        <v/>
      </c>
      <c r="G1398" s="16" t="str">
        <f>IF(B1398="Compra de estoque",VLOOKUP(C1398,Tabela1[#All],4,0)*E1398,"")</f>
        <v/>
      </c>
      <c r="H1398" s="16"/>
    </row>
    <row r="1399" spans="4:8" x14ac:dyDescent="0.25">
      <c r="D1399" s="15" t="str">
        <f>IF(C1399="","",VLOOKUP(C1399,Tabela1[#All],2,0))</f>
        <v/>
      </c>
      <c r="F1399" s="16" t="str" cm="1">
        <f t="array" ref="F1399">IF(B1399="","",(IF(B1399="Compra de estoque","",(_xlfn.IFS(AND(B1399="Venda de produtos",H1399="Sul/Sudeste"),(VLOOKUP(C1399,Tabela1[#All],9,0)*E1399),AND(B1399="Venda de produtos",H1399="Nordeste"),(VLOOKUP(C1399,Tabela1[#All],11,0)*E1399),AND("Venda de produtos",H1399="Norte/Centro-Oeste"),(VLOOKUP(C1399,Tabela1[#All],13,0)*E1399))))))</f>
        <v/>
      </c>
      <c r="G1399" s="16" t="str">
        <f>IF(B1399="Compra de estoque",VLOOKUP(C1399,Tabela1[#All],4,0)*E1399,"")</f>
        <v/>
      </c>
      <c r="H1399" s="16"/>
    </row>
    <row r="1400" spans="4:8" x14ac:dyDescent="0.25">
      <c r="D1400" s="15" t="str">
        <f>IF(C1400="","",VLOOKUP(C1400,Tabela1[#All],2,0))</f>
        <v/>
      </c>
      <c r="F1400" s="16" t="str" cm="1">
        <f t="array" ref="F1400">IF(B1400="","",(IF(B1400="Compra de estoque","",(_xlfn.IFS(AND(B1400="Venda de produtos",H1400="Sul/Sudeste"),(VLOOKUP(C1400,Tabela1[#All],9,0)*E1400),AND(B1400="Venda de produtos",H1400="Nordeste"),(VLOOKUP(C1400,Tabela1[#All],11,0)*E1400),AND("Venda de produtos",H1400="Norte/Centro-Oeste"),(VLOOKUP(C1400,Tabela1[#All],13,0)*E1400))))))</f>
        <v/>
      </c>
      <c r="G1400" s="16" t="str">
        <f>IF(B1400="Compra de estoque",VLOOKUP(C1400,Tabela1[#All],4,0)*E1400,"")</f>
        <v/>
      </c>
      <c r="H1400" s="16"/>
    </row>
    <row r="1401" spans="4:8" x14ac:dyDescent="0.25">
      <c r="D1401" s="15" t="str">
        <f>IF(C1401="","",VLOOKUP(C1401,Tabela1[#All],2,0))</f>
        <v/>
      </c>
      <c r="F1401" s="16" t="str" cm="1">
        <f t="array" ref="F1401">IF(B1401="","",(IF(B1401="Compra de estoque","",(_xlfn.IFS(AND(B1401="Venda de produtos",H1401="Sul/Sudeste"),(VLOOKUP(C1401,Tabela1[#All],9,0)*E1401),AND(B1401="Venda de produtos",H1401="Nordeste"),(VLOOKUP(C1401,Tabela1[#All],11,0)*E1401),AND("Venda de produtos",H1401="Norte/Centro-Oeste"),(VLOOKUP(C1401,Tabela1[#All],13,0)*E1401))))))</f>
        <v/>
      </c>
      <c r="G1401" s="16" t="str">
        <f>IF(B1401="Compra de estoque",VLOOKUP(C1401,Tabela1[#All],4,0)*E1401,"")</f>
        <v/>
      </c>
      <c r="H1401" s="16"/>
    </row>
    <row r="1402" spans="4:8" x14ac:dyDescent="0.25">
      <c r="D1402" s="15" t="str">
        <f>IF(C1402="","",VLOOKUP(C1402,Tabela1[#All],2,0))</f>
        <v/>
      </c>
      <c r="F1402" s="16" t="str" cm="1">
        <f t="array" ref="F1402">IF(B1402="","",(IF(B1402="Compra de estoque","",(_xlfn.IFS(AND(B1402="Venda de produtos",H1402="Sul/Sudeste"),(VLOOKUP(C1402,Tabela1[#All],9,0)*E1402),AND(B1402="Venda de produtos",H1402="Nordeste"),(VLOOKUP(C1402,Tabela1[#All],11,0)*E1402),AND("Venda de produtos",H1402="Norte/Centro-Oeste"),(VLOOKUP(C1402,Tabela1[#All],13,0)*E1402))))))</f>
        <v/>
      </c>
      <c r="G1402" s="16" t="str">
        <f>IF(B1402="Compra de estoque",VLOOKUP(C1402,Tabela1[#All],4,0)*E1402,"")</f>
        <v/>
      </c>
      <c r="H1402" s="16"/>
    </row>
    <row r="1403" spans="4:8" x14ac:dyDescent="0.25">
      <c r="D1403" s="15" t="str">
        <f>IF(C1403="","",VLOOKUP(C1403,Tabela1[#All],2,0))</f>
        <v/>
      </c>
      <c r="F1403" s="16" t="str" cm="1">
        <f t="array" ref="F1403">IF(B1403="","",(IF(B1403="Compra de estoque","",(_xlfn.IFS(AND(B1403="Venda de produtos",H1403="Sul/Sudeste"),(VLOOKUP(C1403,Tabela1[#All],9,0)*E1403),AND(B1403="Venda de produtos",H1403="Nordeste"),(VLOOKUP(C1403,Tabela1[#All],11,0)*E1403),AND("Venda de produtos",H1403="Norte/Centro-Oeste"),(VLOOKUP(C1403,Tabela1[#All],13,0)*E1403))))))</f>
        <v/>
      </c>
      <c r="G1403" s="16" t="str">
        <f>IF(B1403="Compra de estoque",VLOOKUP(C1403,Tabela1[#All],4,0)*E1403,"")</f>
        <v/>
      </c>
      <c r="H1403" s="16"/>
    </row>
    <row r="1404" spans="4:8" x14ac:dyDescent="0.25">
      <c r="D1404" s="15" t="str">
        <f>IF(C1404="","",VLOOKUP(C1404,Tabela1[#All],2,0))</f>
        <v/>
      </c>
      <c r="F1404" s="16" t="str" cm="1">
        <f t="array" ref="F1404">IF(B1404="","",(IF(B1404="Compra de estoque","",(_xlfn.IFS(AND(B1404="Venda de produtos",H1404="Sul/Sudeste"),(VLOOKUP(C1404,Tabela1[#All],9,0)*E1404),AND(B1404="Venda de produtos",H1404="Nordeste"),(VLOOKUP(C1404,Tabela1[#All],11,0)*E1404),AND("Venda de produtos",H1404="Norte/Centro-Oeste"),(VLOOKUP(C1404,Tabela1[#All],13,0)*E1404))))))</f>
        <v/>
      </c>
      <c r="G1404" s="16" t="str">
        <f>IF(B1404="Compra de estoque",VLOOKUP(C1404,Tabela1[#All],4,0)*E1404,"")</f>
        <v/>
      </c>
      <c r="H1404" s="16"/>
    </row>
    <row r="1405" spans="4:8" x14ac:dyDescent="0.25">
      <c r="D1405" s="15" t="str">
        <f>IF(C1405="","",VLOOKUP(C1405,Tabela1[#All],2,0))</f>
        <v/>
      </c>
      <c r="F1405" s="16" t="str" cm="1">
        <f t="array" ref="F1405">IF(B1405="","",(IF(B1405="Compra de estoque","",(_xlfn.IFS(AND(B1405="Venda de produtos",H1405="Sul/Sudeste"),(VLOOKUP(C1405,Tabela1[#All],9,0)*E1405),AND(B1405="Venda de produtos",H1405="Nordeste"),(VLOOKUP(C1405,Tabela1[#All],11,0)*E1405),AND("Venda de produtos",H1405="Norte/Centro-Oeste"),(VLOOKUP(C1405,Tabela1[#All],13,0)*E1405))))))</f>
        <v/>
      </c>
      <c r="G1405" s="16" t="str">
        <f>IF(B1405="Compra de estoque",VLOOKUP(C1405,Tabela1[#All],4,0)*E1405,"")</f>
        <v/>
      </c>
      <c r="H1405" s="16"/>
    </row>
    <row r="1406" spans="4:8" x14ac:dyDescent="0.25">
      <c r="D1406" s="15" t="str">
        <f>IF(C1406="","",VLOOKUP(C1406,Tabela1[#All],2,0))</f>
        <v/>
      </c>
      <c r="F1406" s="16" t="str" cm="1">
        <f t="array" ref="F1406">IF(B1406="","",(IF(B1406="Compra de estoque","",(_xlfn.IFS(AND(B1406="Venda de produtos",H1406="Sul/Sudeste"),(VLOOKUP(C1406,Tabela1[#All],9,0)*E1406),AND(B1406="Venda de produtos",H1406="Nordeste"),(VLOOKUP(C1406,Tabela1[#All],11,0)*E1406),AND("Venda de produtos",H1406="Norte/Centro-Oeste"),(VLOOKUP(C1406,Tabela1[#All],13,0)*E1406))))))</f>
        <v/>
      </c>
      <c r="G1406" s="16" t="str">
        <f>IF(B1406="Compra de estoque",VLOOKUP(C1406,Tabela1[#All],4,0)*E1406,"")</f>
        <v/>
      </c>
      <c r="H1406" s="16"/>
    </row>
    <row r="1407" spans="4:8" x14ac:dyDescent="0.25">
      <c r="D1407" s="15" t="str">
        <f>IF(C1407="","",VLOOKUP(C1407,Tabela1[#All],2,0))</f>
        <v/>
      </c>
      <c r="F1407" s="16" t="str" cm="1">
        <f t="array" ref="F1407">IF(B1407="","",(IF(B1407="Compra de estoque","",(_xlfn.IFS(AND(B1407="Venda de produtos",H1407="Sul/Sudeste"),(VLOOKUP(C1407,Tabela1[#All],9,0)*E1407),AND(B1407="Venda de produtos",H1407="Nordeste"),(VLOOKUP(C1407,Tabela1[#All],11,0)*E1407),AND("Venda de produtos",H1407="Norte/Centro-Oeste"),(VLOOKUP(C1407,Tabela1[#All],13,0)*E1407))))))</f>
        <v/>
      </c>
      <c r="G1407" s="16" t="str">
        <f>IF(B1407="Compra de estoque",VLOOKUP(C1407,Tabela1[#All],4,0)*E1407,"")</f>
        <v/>
      </c>
      <c r="H1407" s="16"/>
    </row>
    <row r="1408" spans="4:8" x14ac:dyDescent="0.25">
      <c r="D1408" s="15" t="str">
        <f>IF(C1408="","",VLOOKUP(C1408,Tabela1[#All],2,0))</f>
        <v/>
      </c>
      <c r="F1408" s="16" t="str" cm="1">
        <f t="array" ref="F1408">IF(B1408="","",(IF(B1408="Compra de estoque","",(_xlfn.IFS(AND(B1408="Venda de produtos",H1408="Sul/Sudeste"),(VLOOKUP(C1408,Tabela1[#All],9,0)*E1408),AND(B1408="Venda de produtos",H1408="Nordeste"),(VLOOKUP(C1408,Tabela1[#All],11,0)*E1408),AND("Venda de produtos",H1408="Norte/Centro-Oeste"),(VLOOKUP(C1408,Tabela1[#All],13,0)*E1408))))))</f>
        <v/>
      </c>
      <c r="G1408" s="16" t="str">
        <f>IF(B1408="Compra de estoque",VLOOKUP(C1408,Tabela1[#All],4,0)*E1408,"")</f>
        <v/>
      </c>
      <c r="H1408" s="16"/>
    </row>
    <row r="1409" spans="4:8" x14ac:dyDescent="0.25">
      <c r="D1409" s="15" t="str">
        <f>IF(C1409="","",VLOOKUP(C1409,Tabela1[#All],2,0))</f>
        <v/>
      </c>
      <c r="F1409" s="16" t="str" cm="1">
        <f t="array" ref="F1409">IF(B1409="","",(IF(B1409="Compra de estoque","",(_xlfn.IFS(AND(B1409="Venda de produtos",H1409="Sul/Sudeste"),(VLOOKUP(C1409,Tabela1[#All],9,0)*E1409),AND(B1409="Venda de produtos",H1409="Nordeste"),(VLOOKUP(C1409,Tabela1[#All],11,0)*E1409),AND("Venda de produtos",H1409="Norte/Centro-Oeste"),(VLOOKUP(C1409,Tabela1[#All],13,0)*E1409))))))</f>
        <v/>
      </c>
      <c r="G1409" s="16" t="str">
        <f>IF(B1409="Compra de estoque",VLOOKUP(C1409,Tabela1[#All],4,0)*E1409,"")</f>
        <v/>
      </c>
      <c r="H1409" s="16"/>
    </row>
    <row r="1410" spans="4:8" x14ac:dyDescent="0.25">
      <c r="D1410" s="15" t="str">
        <f>IF(C1410="","",VLOOKUP(C1410,Tabela1[#All],2,0))</f>
        <v/>
      </c>
      <c r="F1410" s="16" t="str" cm="1">
        <f t="array" ref="F1410">IF(B1410="","",(IF(B1410="Compra de estoque","",(_xlfn.IFS(AND(B1410="Venda de produtos",H1410="Sul/Sudeste"),(VLOOKUP(C1410,Tabela1[#All],9,0)*E1410),AND(B1410="Venda de produtos",H1410="Nordeste"),(VLOOKUP(C1410,Tabela1[#All],11,0)*E1410),AND("Venda de produtos",H1410="Norte/Centro-Oeste"),(VLOOKUP(C1410,Tabela1[#All],13,0)*E1410))))))</f>
        <v/>
      </c>
      <c r="G1410" s="16" t="str">
        <f>IF(B1410="Compra de estoque",VLOOKUP(C1410,Tabela1[#All],4,0)*E1410,"")</f>
        <v/>
      </c>
      <c r="H1410" s="16"/>
    </row>
    <row r="1411" spans="4:8" x14ac:dyDescent="0.25">
      <c r="D1411" s="15" t="str">
        <f>IF(C1411="","",VLOOKUP(C1411,Tabela1[#All],2,0))</f>
        <v/>
      </c>
      <c r="F1411" s="16" t="str" cm="1">
        <f t="array" ref="F1411">IF(B1411="","",(IF(B1411="Compra de estoque","",(_xlfn.IFS(AND(B1411="Venda de produtos",H1411="Sul/Sudeste"),(VLOOKUP(C1411,Tabela1[#All],9,0)*E1411),AND(B1411="Venda de produtos",H1411="Nordeste"),(VLOOKUP(C1411,Tabela1[#All],11,0)*E1411),AND("Venda de produtos",H1411="Norte/Centro-Oeste"),(VLOOKUP(C1411,Tabela1[#All],13,0)*E1411))))))</f>
        <v/>
      </c>
      <c r="G1411" s="16" t="str">
        <f>IF(B1411="Compra de estoque",VLOOKUP(C1411,Tabela1[#All],4,0)*E1411,"")</f>
        <v/>
      </c>
      <c r="H1411" s="16"/>
    </row>
    <row r="1412" spans="4:8" x14ac:dyDescent="0.25">
      <c r="D1412" s="15" t="str">
        <f>IF(C1412="","",VLOOKUP(C1412,Tabela1[#All],2,0))</f>
        <v/>
      </c>
      <c r="F1412" s="16" t="str" cm="1">
        <f t="array" ref="F1412">IF(B1412="","",(IF(B1412="Compra de estoque","",(_xlfn.IFS(AND(B1412="Venda de produtos",H1412="Sul/Sudeste"),(VLOOKUP(C1412,Tabela1[#All],9,0)*E1412),AND(B1412="Venda de produtos",H1412="Nordeste"),(VLOOKUP(C1412,Tabela1[#All],11,0)*E1412),AND("Venda de produtos",H1412="Norte/Centro-Oeste"),(VLOOKUP(C1412,Tabela1[#All],13,0)*E1412))))))</f>
        <v/>
      </c>
      <c r="G1412" s="16" t="str">
        <f>IF(B1412="Compra de estoque",VLOOKUP(C1412,Tabela1[#All],4,0)*E1412,"")</f>
        <v/>
      </c>
      <c r="H1412" s="16"/>
    </row>
    <row r="1413" spans="4:8" x14ac:dyDescent="0.25">
      <c r="D1413" s="15" t="str">
        <f>IF(C1413="","",VLOOKUP(C1413,Tabela1[#All],2,0))</f>
        <v/>
      </c>
      <c r="F1413" s="16" t="str" cm="1">
        <f t="array" ref="F1413">IF(B1413="","",(IF(B1413="Compra de estoque","",(_xlfn.IFS(AND(B1413="Venda de produtos",H1413="Sul/Sudeste"),(VLOOKUP(C1413,Tabela1[#All],9,0)*E1413),AND(B1413="Venda de produtos",H1413="Nordeste"),(VLOOKUP(C1413,Tabela1[#All],11,0)*E1413),AND("Venda de produtos",H1413="Norte/Centro-Oeste"),(VLOOKUP(C1413,Tabela1[#All],13,0)*E1413))))))</f>
        <v/>
      </c>
      <c r="G1413" s="16" t="str">
        <f>IF(B1413="Compra de estoque",VLOOKUP(C1413,Tabela1[#All],4,0)*E1413,"")</f>
        <v/>
      </c>
      <c r="H1413" s="16"/>
    </row>
    <row r="1414" spans="4:8" x14ac:dyDescent="0.25">
      <c r="D1414" s="15" t="str">
        <f>IF(C1414="","",VLOOKUP(C1414,Tabela1[#All],2,0))</f>
        <v/>
      </c>
      <c r="F1414" s="16" t="str" cm="1">
        <f t="array" ref="F1414">IF(B1414="","",(IF(B1414="Compra de estoque","",(_xlfn.IFS(AND(B1414="Venda de produtos",H1414="Sul/Sudeste"),(VLOOKUP(C1414,Tabela1[#All],9,0)*E1414),AND(B1414="Venda de produtos",H1414="Nordeste"),(VLOOKUP(C1414,Tabela1[#All],11,0)*E1414),AND("Venda de produtos",H1414="Norte/Centro-Oeste"),(VLOOKUP(C1414,Tabela1[#All],13,0)*E1414))))))</f>
        <v/>
      </c>
      <c r="G1414" s="16" t="str">
        <f>IF(B1414="Compra de estoque",VLOOKUP(C1414,Tabela1[#All],4,0)*E1414,"")</f>
        <v/>
      </c>
      <c r="H1414" s="16"/>
    </row>
    <row r="1415" spans="4:8" x14ac:dyDescent="0.25">
      <c r="D1415" s="15" t="str">
        <f>IF(C1415="","",VLOOKUP(C1415,Tabela1[#All],2,0))</f>
        <v/>
      </c>
      <c r="F1415" s="16" t="str" cm="1">
        <f t="array" ref="F1415">IF(B1415="","",(IF(B1415="Compra de estoque","",(_xlfn.IFS(AND(B1415="Venda de produtos",H1415="Sul/Sudeste"),(VLOOKUP(C1415,Tabela1[#All],9,0)*E1415),AND(B1415="Venda de produtos",H1415="Nordeste"),(VLOOKUP(C1415,Tabela1[#All],11,0)*E1415),AND("Venda de produtos",H1415="Norte/Centro-Oeste"),(VLOOKUP(C1415,Tabela1[#All],13,0)*E1415))))))</f>
        <v/>
      </c>
      <c r="G1415" s="16" t="str">
        <f>IF(B1415="Compra de estoque",VLOOKUP(C1415,Tabela1[#All],4,0)*E1415,"")</f>
        <v/>
      </c>
      <c r="H1415" s="16"/>
    </row>
    <row r="1416" spans="4:8" x14ac:dyDescent="0.25">
      <c r="D1416" s="15" t="str">
        <f>IF(C1416="","",VLOOKUP(C1416,Tabela1[#All],2,0))</f>
        <v/>
      </c>
      <c r="F1416" s="16" t="str" cm="1">
        <f t="array" ref="F1416">IF(B1416="","",(IF(B1416="Compra de estoque","",(_xlfn.IFS(AND(B1416="Venda de produtos",H1416="Sul/Sudeste"),(VLOOKUP(C1416,Tabela1[#All],9,0)*E1416),AND(B1416="Venda de produtos",H1416="Nordeste"),(VLOOKUP(C1416,Tabela1[#All],11,0)*E1416),AND("Venda de produtos",H1416="Norte/Centro-Oeste"),(VLOOKUP(C1416,Tabela1[#All],13,0)*E1416))))))</f>
        <v/>
      </c>
      <c r="G1416" s="16" t="str">
        <f>IF(B1416="Compra de estoque",VLOOKUP(C1416,Tabela1[#All],4,0)*E1416,"")</f>
        <v/>
      </c>
      <c r="H1416" s="16"/>
    </row>
    <row r="1417" spans="4:8" x14ac:dyDescent="0.25">
      <c r="D1417" s="15" t="str">
        <f>IF(C1417="","",VLOOKUP(C1417,Tabela1[#All],2,0))</f>
        <v/>
      </c>
      <c r="F1417" s="16" t="str" cm="1">
        <f t="array" ref="F1417">IF(B1417="","",(IF(B1417="Compra de estoque","",(_xlfn.IFS(AND(B1417="Venda de produtos",H1417="Sul/Sudeste"),(VLOOKUP(C1417,Tabela1[#All],9,0)*E1417),AND(B1417="Venda de produtos",H1417="Nordeste"),(VLOOKUP(C1417,Tabela1[#All],11,0)*E1417),AND("Venda de produtos",H1417="Norte/Centro-Oeste"),(VLOOKUP(C1417,Tabela1[#All],13,0)*E1417))))))</f>
        <v/>
      </c>
      <c r="G1417" s="16" t="str">
        <f>IF(B1417="Compra de estoque",VLOOKUP(C1417,Tabela1[#All],4,0)*E1417,"")</f>
        <v/>
      </c>
      <c r="H1417" s="16"/>
    </row>
    <row r="1418" spans="4:8" x14ac:dyDescent="0.25">
      <c r="D1418" s="15" t="str">
        <f>IF(C1418="","",VLOOKUP(C1418,Tabela1[#All],2,0))</f>
        <v/>
      </c>
      <c r="F1418" s="16" t="str" cm="1">
        <f t="array" ref="F1418">IF(B1418="","",(IF(B1418="Compra de estoque","",(_xlfn.IFS(AND(B1418="Venda de produtos",H1418="Sul/Sudeste"),(VLOOKUP(C1418,Tabela1[#All],9,0)*E1418),AND(B1418="Venda de produtos",H1418="Nordeste"),(VLOOKUP(C1418,Tabela1[#All],11,0)*E1418),AND("Venda de produtos",H1418="Norte/Centro-Oeste"),(VLOOKUP(C1418,Tabela1[#All],13,0)*E1418))))))</f>
        <v/>
      </c>
      <c r="G1418" s="16" t="str">
        <f>IF(B1418="Compra de estoque",VLOOKUP(C1418,Tabela1[#All],4,0)*E1418,"")</f>
        <v/>
      </c>
      <c r="H1418" s="16"/>
    </row>
    <row r="1419" spans="4:8" x14ac:dyDescent="0.25">
      <c r="D1419" s="15" t="str">
        <f>IF(C1419="","",VLOOKUP(C1419,Tabela1[#All],2,0))</f>
        <v/>
      </c>
      <c r="F1419" s="16" t="str" cm="1">
        <f t="array" ref="F1419">IF(B1419="","",(IF(B1419="Compra de estoque","",(_xlfn.IFS(AND(B1419="Venda de produtos",H1419="Sul/Sudeste"),(VLOOKUP(C1419,Tabela1[#All],9,0)*E1419),AND(B1419="Venda de produtos",H1419="Nordeste"),(VLOOKUP(C1419,Tabela1[#All],11,0)*E1419),AND("Venda de produtos",H1419="Norte/Centro-Oeste"),(VLOOKUP(C1419,Tabela1[#All],13,0)*E1419))))))</f>
        <v/>
      </c>
      <c r="G1419" s="16" t="str">
        <f>IF(B1419="Compra de estoque",VLOOKUP(C1419,Tabela1[#All],4,0)*E1419,"")</f>
        <v/>
      </c>
      <c r="H1419" s="16"/>
    </row>
    <row r="1420" spans="4:8" x14ac:dyDescent="0.25">
      <c r="D1420" s="15" t="str">
        <f>IF(C1420="","",VLOOKUP(C1420,Tabela1[#All],2,0))</f>
        <v/>
      </c>
      <c r="F1420" s="16" t="str" cm="1">
        <f t="array" ref="F1420">IF(B1420="","",(IF(B1420="Compra de estoque","",(_xlfn.IFS(AND(B1420="Venda de produtos",H1420="Sul/Sudeste"),(VLOOKUP(C1420,Tabela1[#All],9,0)*E1420),AND(B1420="Venda de produtos",H1420="Nordeste"),(VLOOKUP(C1420,Tabela1[#All],11,0)*E1420),AND("Venda de produtos",H1420="Norte/Centro-Oeste"),(VLOOKUP(C1420,Tabela1[#All],13,0)*E1420))))))</f>
        <v/>
      </c>
      <c r="G1420" s="16" t="str">
        <f>IF(B1420="Compra de estoque",VLOOKUP(C1420,Tabela1[#All],4,0)*E1420,"")</f>
        <v/>
      </c>
      <c r="H1420" s="16"/>
    </row>
    <row r="1421" spans="4:8" x14ac:dyDescent="0.25">
      <c r="D1421" s="15" t="str">
        <f>IF(C1421="","",VLOOKUP(C1421,Tabela1[#All],2,0))</f>
        <v/>
      </c>
      <c r="F1421" s="16" t="str" cm="1">
        <f t="array" ref="F1421">IF(B1421="","",(IF(B1421="Compra de estoque","",(_xlfn.IFS(AND(B1421="Venda de produtos",H1421="Sul/Sudeste"),(VLOOKUP(C1421,Tabela1[#All],9,0)*E1421),AND(B1421="Venda de produtos",H1421="Nordeste"),(VLOOKUP(C1421,Tabela1[#All],11,0)*E1421),AND("Venda de produtos",H1421="Norte/Centro-Oeste"),(VLOOKUP(C1421,Tabela1[#All],13,0)*E1421))))))</f>
        <v/>
      </c>
      <c r="G1421" s="16" t="str">
        <f>IF(B1421="Compra de estoque",VLOOKUP(C1421,Tabela1[#All],4,0)*E1421,"")</f>
        <v/>
      </c>
      <c r="H1421" s="16"/>
    </row>
    <row r="1422" spans="4:8" x14ac:dyDescent="0.25">
      <c r="D1422" s="15" t="str">
        <f>IF(C1422="","",VLOOKUP(C1422,Tabela1[#All],2,0))</f>
        <v/>
      </c>
      <c r="F1422" s="16" t="str" cm="1">
        <f t="array" ref="F1422">IF(B1422="","",(IF(B1422="Compra de estoque","",(_xlfn.IFS(AND(B1422="Venda de produtos",H1422="Sul/Sudeste"),(VLOOKUP(C1422,Tabela1[#All],9,0)*E1422),AND(B1422="Venda de produtos",H1422="Nordeste"),(VLOOKUP(C1422,Tabela1[#All],11,0)*E1422),AND("Venda de produtos",H1422="Norte/Centro-Oeste"),(VLOOKUP(C1422,Tabela1[#All],13,0)*E1422))))))</f>
        <v/>
      </c>
      <c r="G1422" s="16" t="str">
        <f>IF(B1422="Compra de estoque",VLOOKUP(C1422,Tabela1[#All],4,0)*E1422,"")</f>
        <v/>
      </c>
      <c r="H1422" s="16"/>
    </row>
    <row r="1423" spans="4:8" x14ac:dyDescent="0.25">
      <c r="D1423" s="15" t="str">
        <f>IF(C1423="","",VLOOKUP(C1423,Tabela1[#All],2,0))</f>
        <v/>
      </c>
      <c r="F1423" s="16" t="str" cm="1">
        <f t="array" ref="F1423">IF(B1423="","",(IF(B1423="Compra de estoque","",(_xlfn.IFS(AND(B1423="Venda de produtos",H1423="Sul/Sudeste"),(VLOOKUP(C1423,Tabela1[#All],9,0)*E1423),AND(B1423="Venda de produtos",H1423="Nordeste"),(VLOOKUP(C1423,Tabela1[#All],11,0)*E1423),AND("Venda de produtos",H1423="Norte/Centro-Oeste"),(VLOOKUP(C1423,Tabela1[#All],13,0)*E1423))))))</f>
        <v/>
      </c>
      <c r="G1423" s="16" t="str">
        <f>IF(B1423="Compra de estoque",VLOOKUP(C1423,Tabela1[#All],4,0)*E1423,"")</f>
        <v/>
      </c>
      <c r="H1423" s="16"/>
    </row>
  </sheetData>
  <pageMargins left="0.511811024" right="0.511811024" top="0.78740157499999996" bottom="0.78740157499999996" header="0.31496062000000002" footer="0.31496062000000002"/>
  <pageSetup paperSize="8" scale="5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0346-5DA1-40EA-B846-CDF43DA64331}">
  <sheetPr codeName="Planilha7"/>
  <dimension ref="A1:S40"/>
  <sheetViews>
    <sheetView topLeftCell="A4" zoomScale="90" zoomScaleNormal="90" workbookViewId="0">
      <selection activeCell="B23" sqref="B23:E26"/>
    </sheetView>
  </sheetViews>
  <sheetFormatPr defaultRowHeight="15" x14ac:dyDescent="0.25"/>
  <cols>
    <col min="1" max="1" width="21.85546875" customWidth="1"/>
    <col min="2" max="2" width="24.42578125" bestFit="1" customWidth="1"/>
    <col min="3" max="3" width="16.5703125" bestFit="1" customWidth="1"/>
    <col min="4" max="4" width="14.28515625" bestFit="1" customWidth="1"/>
    <col min="5" max="5" width="13.140625" bestFit="1" customWidth="1"/>
    <col min="6" max="6" width="12.5703125" bestFit="1" customWidth="1"/>
    <col min="7" max="7" width="12.5703125" customWidth="1"/>
    <col min="8" max="8" width="24.5703125" customWidth="1"/>
    <col min="9" max="10" width="32.42578125" customWidth="1"/>
    <col min="11" max="11" width="24.7109375" customWidth="1"/>
    <col min="12" max="12" width="25" bestFit="1" customWidth="1"/>
    <col min="13" max="13" width="24.140625" customWidth="1"/>
    <col min="14" max="14" width="19" bestFit="1" customWidth="1"/>
    <col min="16" max="16" width="10.5703125" bestFit="1" customWidth="1"/>
  </cols>
  <sheetData>
    <row r="1" spans="1:16" ht="45.75" customHeight="1" x14ac:dyDescent="0.25">
      <c r="A1" s="15" t="s">
        <v>17</v>
      </c>
      <c r="B1" s="15" t="s">
        <v>18</v>
      </c>
      <c r="C1" s="15" t="s">
        <v>19</v>
      </c>
      <c r="D1" s="15" t="s">
        <v>4</v>
      </c>
      <c r="E1" s="15" t="s">
        <v>20</v>
      </c>
      <c r="F1" s="15" t="s">
        <v>21</v>
      </c>
      <c r="G1" s="15" t="s">
        <v>22</v>
      </c>
      <c r="H1" s="15" t="s">
        <v>23</v>
      </c>
      <c r="I1" s="15" t="s">
        <v>24</v>
      </c>
      <c r="J1" s="15" t="s">
        <v>25</v>
      </c>
      <c r="K1" s="133" t="s">
        <v>26</v>
      </c>
      <c r="L1" s="134" t="s">
        <v>27</v>
      </c>
      <c r="M1" s="133" t="s">
        <v>28</v>
      </c>
      <c r="N1" s="15" t="s">
        <v>29</v>
      </c>
    </row>
    <row r="2" spans="1:16" x14ac:dyDescent="0.25">
      <c r="A2" s="135">
        <v>544703.39899999998</v>
      </c>
      <c r="B2" s="135">
        <f>A2</f>
        <v>544703.39899999998</v>
      </c>
      <c r="C2" s="135">
        <v>150</v>
      </c>
      <c r="D2" s="15">
        <v>750000</v>
      </c>
      <c r="E2" s="135">
        <v>0</v>
      </c>
      <c r="F2" s="135">
        <f>D2-A2</f>
        <v>205296.60100000002</v>
      </c>
      <c r="G2" s="135">
        <f>F2/5000</f>
        <v>41.059320200000002</v>
      </c>
      <c r="H2" s="16">
        <f>3150000+200812</f>
        <v>3350812</v>
      </c>
      <c r="I2" s="16">
        <f>((D2*$E$24)*$I$24)+((D2*$E$24)*$I$25)+((D2*$D$25)*$I$26)+((D2*$D$26)*$I$27)</f>
        <v>1189501410</v>
      </c>
      <c r="J2" s="16">
        <f>SUM(H2:I2)</f>
        <v>1192852222</v>
      </c>
      <c r="K2" s="16">
        <f t="shared" ref="K2:K13" si="0">((D2*$E$24)*$H$24)+((D2*$E$24)*$H$25)+((D2*$D$25)*$H$26)+((D2*$D$26)*$H$27)</f>
        <v>2180010000</v>
      </c>
      <c r="L2" s="136">
        <f>SUM(J2:J13)</f>
        <v>9125070554</v>
      </c>
      <c r="M2" s="137">
        <f>SUM(K2:K13)</f>
        <v>16713410000</v>
      </c>
      <c r="N2" s="137">
        <f>M2-L2</f>
        <v>7588339446</v>
      </c>
    </row>
    <row r="3" spans="1:16" x14ac:dyDescent="0.25">
      <c r="A3" s="135">
        <v>468549.56200000003</v>
      </c>
      <c r="B3" s="135">
        <f t="shared" ref="B3:B13" si="1">A3-F2</f>
        <v>263252.96100000001</v>
      </c>
      <c r="C3" s="15">
        <v>75</v>
      </c>
      <c r="D3" s="135">
        <v>375000</v>
      </c>
      <c r="E3" s="135">
        <f>F2</f>
        <v>205296.60100000002</v>
      </c>
      <c r="F3" s="135">
        <f>(D3+E3)-A3</f>
        <v>111747.03899999999</v>
      </c>
      <c r="G3" s="135">
        <f t="shared" ref="G3:G13" si="2">F3/5000</f>
        <v>22.349407799999998</v>
      </c>
      <c r="H3" s="16">
        <v>200812</v>
      </c>
      <c r="I3" s="16">
        <f>((D3*$E$24)*$I$24)+((D3*$E$24)*$I$25)+((D3*$D$25)*$I$26)+((D3*$D$26)*$I$27)</f>
        <v>594750705</v>
      </c>
      <c r="J3" s="16">
        <f t="shared" ref="J3:J13" si="3">SUM(H3:I3)</f>
        <v>594951517</v>
      </c>
      <c r="K3" s="16">
        <f t="shared" si="0"/>
        <v>1090005000</v>
      </c>
      <c r="L3" s="1"/>
    </row>
    <row r="4" spans="1:16" ht="49.5" customHeight="1" x14ac:dyDescent="0.25">
      <c r="A4" s="135">
        <v>497615.91200000001</v>
      </c>
      <c r="B4" s="135">
        <f t="shared" si="1"/>
        <v>385868.87300000002</v>
      </c>
      <c r="C4" s="15">
        <v>100</v>
      </c>
      <c r="D4" s="135">
        <v>500000</v>
      </c>
      <c r="E4" s="135">
        <f>F3</f>
        <v>111747.03899999999</v>
      </c>
      <c r="F4" s="135">
        <f>(D4+F3)-A4</f>
        <v>114131.12699999998</v>
      </c>
      <c r="G4" s="135">
        <f t="shared" si="2"/>
        <v>22.826225399999995</v>
      </c>
      <c r="H4" s="16">
        <v>200812</v>
      </c>
      <c r="I4" s="16">
        <f t="shared" ref="I4:I12" si="4">((D4*$E$24)*$I$24)+((D4*$E$24)*$I$25)+((D4*$D$25)*$I$26)+((D4*$D$26)*$I$27)</f>
        <v>793000940</v>
      </c>
      <c r="J4" s="16">
        <f t="shared" si="3"/>
        <v>793201752</v>
      </c>
      <c r="K4" s="16">
        <f t="shared" si="0"/>
        <v>1453340000</v>
      </c>
      <c r="L4" s="1"/>
    </row>
    <row r="5" spans="1:16" x14ac:dyDescent="0.25">
      <c r="A5" s="135">
        <v>468549.56200000003</v>
      </c>
      <c r="B5" s="135">
        <f t="shared" si="1"/>
        <v>354418.43500000006</v>
      </c>
      <c r="C5" s="135">
        <v>75</v>
      </c>
      <c r="D5" s="15">
        <v>375000</v>
      </c>
      <c r="E5" s="135">
        <f>F4</f>
        <v>114131.12699999998</v>
      </c>
      <c r="F5" s="135">
        <f t="shared" ref="F5:F13" si="5">(D5+E5)-A5</f>
        <v>20581.564999999944</v>
      </c>
      <c r="G5" s="135">
        <f t="shared" si="2"/>
        <v>4.1163129999999892</v>
      </c>
      <c r="H5" s="16">
        <v>200812</v>
      </c>
      <c r="I5" s="16">
        <f t="shared" si="4"/>
        <v>594750705</v>
      </c>
      <c r="J5" s="16">
        <f t="shared" si="3"/>
        <v>594951517</v>
      </c>
      <c r="K5" s="16">
        <f t="shared" si="0"/>
        <v>1090005000</v>
      </c>
      <c r="L5" s="1"/>
      <c r="P5" s="129"/>
    </row>
    <row r="6" spans="1:16" x14ac:dyDescent="0.25">
      <c r="A6" s="135">
        <v>526682.26199999999</v>
      </c>
      <c r="B6" s="135">
        <f t="shared" si="1"/>
        <v>506100.69700000004</v>
      </c>
      <c r="C6" s="135">
        <v>125</v>
      </c>
      <c r="D6" s="15">
        <v>625000</v>
      </c>
      <c r="E6" s="135">
        <f>F4</f>
        <v>114131.12699999998</v>
      </c>
      <c r="F6" s="135">
        <f t="shared" si="5"/>
        <v>212448.86499999999</v>
      </c>
      <c r="G6" s="135">
        <f t="shared" si="2"/>
        <v>42.489773</v>
      </c>
      <c r="H6" s="16">
        <v>200812</v>
      </c>
      <c r="I6" s="16">
        <f t="shared" si="4"/>
        <v>991251175</v>
      </c>
      <c r="J6" s="16">
        <f t="shared" si="3"/>
        <v>991451987</v>
      </c>
      <c r="K6" s="16">
        <f t="shared" si="0"/>
        <v>1816675000</v>
      </c>
      <c r="L6" s="1"/>
    </row>
    <row r="7" spans="1:16" x14ac:dyDescent="0.25">
      <c r="A7" s="135">
        <v>491802.64199999999</v>
      </c>
      <c r="B7" s="135">
        <f t="shared" si="1"/>
        <v>279353.777</v>
      </c>
      <c r="C7" s="135">
        <v>75</v>
      </c>
      <c r="D7" s="15">
        <v>375000</v>
      </c>
      <c r="E7" s="135">
        <f t="shared" ref="E7:E13" si="6">F6</f>
        <v>212448.86499999999</v>
      </c>
      <c r="F7" s="135">
        <f t="shared" si="5"/>
        <v>95646.222999999998</v>
      </c>
      <c r="G7" s="135">
        <f t="shared" si="2"/>
        <v>19.1292446</v>
      </c>
      <c r="H7" s="16">
        <v>200812</v>
      </c>
      <c r="I7" s="16">
        <f t="shared" si="4"/>
        <v>594750705</v>
      </c>
      <c r="J7" s="16">
        <f t="shared" si="3"/>
        <v>594951517</v>
      </c>
      <c r="K7" s="16">
        <f t="shared" si="0"/>
        <v>1090005000</v>
      </c>
      <c r="L7" s="1"/>
    </row>
    <row r="8" spans="1:16" x14ac:dyDescent="0.25">
      <c r="A8" s="135">
        <v>468549.56200000003</v>
      </c>
      <c r="B8" s="135">
        <f t="shared" si="1"/>
        <v>372903.33900000004</v>
      </c>
      <c r="C8" s="135">
        <v>100</v>
      </c>
      <c r="D8" s="15">
        <v>500000</v>
      </c>
      <c r="E8" s="135">
        <f t="shared" si="6"/>
        <v>95646.222999999998</v>
      </c>
      <c r="F8" s="135">
        <f t="shared" si="5"/>
        <v>127096.66099999996</v>
      </c>
      <c r="G8" s="135">
        <f t="shared" si="2"/>
        <v>25.419332199999992</v>
      </c>
      <c r="H8" s="16">
        <v>200812</v>
      </c>
      <c r="I8" s="16">
        <f t="shared" si="4"/>
        <v>793000940</v>
      </c>
      <c r="J8" s="16">
        <f t="shared" si="3"/>
        <v>793201752</v>
      </c>
      <c r="K8" s="16">
        <f t="shared" si="0"/>
        <v>1453340000</v>
      </c>
      <c r="L8" s="1"/>
    </row>
    <row r="9" spans="1:16" x14ac:dyDescent="0.25">
      <c r="A9" s="135">
        <v>468549.56200000003</v>
      </c>
      <c r="B9" s="135">
        <f t="shared" si="1"/>
        <v>341452.90100000007</v>
      </c>
      <c r="C9" s="135">
        <v>100</v>
      </c>
      <c r="D9" s="15">
        <v>500000</v>
      </c>
      <c r="E9" s="135">
        <f t="shared" si="6"/>
        <v>127096.66099999996</v>
      </c>
      <c r="F9" s="135">
        <f t="shared" si="5"/>
        <v>158547.09899999993</v>
      </c>
      <c r="G9" s="135">
        <f t="shared" si="2"/>
        <v>31.709419799999985</v>
      </c>
      <c r="H9" s="16">
        <v>200812</v>
      </c>
      <c r="I9" s="16">
        <f t="shared" si="4"/>
        <v>793000940</v>
      </c>
      <c r="J9" s="16">
        <f t="shared" si="3"/>
        <v>793201752</v>
      </c>
      <c r="K9" s="16">
        <f t="shared" si="0"/>
        <v>1453340000</v>
      </c>
      <c r="L9" s="1"/>
    </row>
    <row r="10" spans="1:16" x14ac:dyDescent="0.25">
      <c r="A10" s="135">
        <v>433088.61499999999</v>
      </c>
      <c r="B10" s="135">
        <f t="shared" si="1"/>
        <v>274541.51600000006</v>
      </c>
      <c r="C10" s="135">
        <v>100</v>
      </c>
      <c r="D10" s="15">
        <v>500000</v>
      </c>
      <c r="E10" s="135">
        <f t="shared" si="6"/>
        <v>158547.09899999993</v>
      </c>
      <c r="F10" s="135">
        <f t="shared" si="5"/>
        <v>225458.48399999994</v>
      </c>
      <c r="G10" s="135">
        <f t="shared" si="2"/>
        <v>45.091696799999987</v>
      </c>
      <c r="H10" s="16">
        <v>200812</v>
      </c>
      <c r="I10" s="16">
        <f t="shared" si="4"/>
        <v>793000940</v>
      </c>
      <c r="J10" s="16">
        <f t="shared" si="3"/>
        <v>793201752</v>
      </c>
      <c r="K10" s="16">
        <f t="shared" si="0"/>
        <v>1453340000</v>
      </c>
      <c r="L10" s="1"/>
    </row>
    <row r="11" spans="1:16" x14ac:dyDescent="0.25">
      <c r="A11" s="135">
        <v>351121.50799999997</v>
      </c>
      <c r="B11" s="135">
        <f t="shared" si="1"/>
        <v>125663.02400000003</v>
      </c>
      <c r="C11" s="135">
        <v>50</v>
      </c>
      <c r="D11" s="15">
        <v>250000</v>
      </c>
      <c r="E11" s="135">
        <f t="shared" si="6"/>
        <v>225458.48399999994</v>
      </c>
      <c r="F11" s="135">
        <f t="shared" si="5"/>
        <v>124336.97599999997</v>
      </c>
      <c r="G11" s="135">
        <f t="shared" si="2"/>
        <v>24.867395199999994</v>
      </c>
      <c r="H11" s="16">
        <v>200812</v>
      </c>
      <c r="I11" s="16">
        <f t="shared" si="4"/>
        <v>396500470</v>
      </c>
      <c r="J11" s="16">
        <f t="shared" si="3"/>
        <v>396701282</v>
      </c>
      <c r="K11" s="16">
        <f t="shared" si="0"/>
        <v>726670000</v>
      </c>
      <c r="L11" s="1"/>
    </row>
    <row r="12" spans="1:16" x14ac:dyDescent="0.25">
      <c r="A12" s="135">
        <v>614462.63899999997</v>
      </c>
      <c r="B12" s="135">
        <f t="shared" si="1"/>
        <v>490125.663</v>
      </c>
      <c r="C12" s="135">
        <v>100</v>
      </c>
      <c r="D12" s="15">
        <v>500000</v>
      </c>
      <c r="E12" s="135">
        <f t="shared" si="6"/>
        <v>124336.97599999997</v>
      </c>
      <c r="F12" s="135">
        <f t="shared" si="5"/>
        <v>9874.3370000000577</v>
      </c>
      <c r="G12" s="135">
        <f t="shared" si="2"/>
        <v>1.9748674000000115</v>
      </c>
      <c r="H12" s="16">
        <v>200812</v>
      </c>
      <c r="I12" s="16">
        <f t="shared" si="4"/>
        <v>793000940</v>
      </c>
      <c r="J12" s="16">
        <f t="shared" si="3"/>
        <v>793201752</v>
      </c>
      <c r="K12" s="16">
        <f t="shared" si="0"/>
        <v>1453340000</v>
      </c>
      <c r="L12" s="1"/>
    </row>
    <row r="13" spans="1:16" x14ac:dyDescent="0.25">
      <c r="A13" s="135">
        <v>480176.10199999996</v>
      </c>
      <c r="B13" s="135">
        <f t="shared" si="1"/>
        <v>470301.7649999999</v>
      </c>
      <c r="C13" s="135">
        <v>100</v>
      </c>
      <c r="D13" s="15">
        <v>500000</v>
      </c>
      <c r="E13" s="135">
        <f t="shared" si="6"/>
        <v>9874.3370000000577</v>
      </c>
      <c r="F13" s="135">
        <f t="shared" si="5"/>
        <v>29698.235000000102</v>
      </c>
      <c r="G13" s="135">
        <f t="shared" si="2"/>
        <v>5.9396470000000203</v>
      </c>
      <c r="H13" s="16">
        <v>200812</v>
      </c>
      <c r="I13" s="16">
        <f>((D13*$E$24)*$I$24)+((D13*$E$24)*$I$25)+((D13*$D$25)*$I$26)+((D13*$D$26)*$I$27)</f>
        <v>793000940</v>
      </c>
      <c r="J13" s="16">
        <f t="shared" si="3"/>
        <v>793201752</v>
      </c>
      <c r="K13" s="16">
        <f t="shared" si="0"/>
        <v>1453340000</v>
      </c>
      <c r="L13" s="1"/>
    </row>
    <row r="14" spans="1:16" ht="20.25" customHeight="1" x14ac:dyDescent="0.25">
      <c r="A14" s="5"/>
      <c r="B14" s="5"/>
      <c r="C14" s="5"/>
      <c r="D14" s="1"/>
      <c r="E14" s="5"/>
      <c r="F14" s="1"/>
      <c r="G14" s="1"/>
      <c r="H14" s="130"/>
      <c r="I14" s="1"/>
      <c r="M14" s="1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32"/>
      <c r="M15" s="1"/>
    </row>
    <row r="16" spans="1:1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9" ht="15.7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9" x14ac:dyDescent="0.25">
      <c r="A18" s="1"/>
      <c r="B18" s="1"/>
      <c r="C18" s="1"/>
      <c r="D18" s="1"/>
      <c r="E18" s="1"/>
      <c r="F18" s="1"/>
      <c r="G18" s="1"/>
    </row>
    <row r="19" spans="1:19" x14ac:dyDescent="0.25">
      <c r="A19" s="1"/>
      <c r="B19" s="1"/>
      <c r="C19" s="1"/>
      <c r="D19" s="1"/>
      <c r="E19" s="1"/>
      <c r="F19" s="1"/>
      <c r="G19" s="1"/>
    </row>
    <row r="23" spans="1:19" x14ac:dyDescent="0.25">
      <c r="B23" s="1" t="s">
        <v>30</v>
      </c>
      <c r="C23" s="1" t="s">
        <v>31</v>
      </c>
      <c r="D23" s="1" t="s">
        <v>32</v>
      </c>
      <c r="E23" s="1"/>
      <c r="F23" s="4"/>
      <c r="G23" s="4"/>
      <c r="H23" s="4" t="s">
        <v>33</v>
      </c>
      <c r="I23" t="s">
        <v>34</v>
      </c>
      <c r="N23" s="1"/>
      <c r="O23" s="1"/>
      <c r="P23" s="1"/>
      <c r="Q23" s="1"/>
      <c r="R23" s="4"/>
      <c r="S23" s="4"/>
    </row>
    <row r="24" spans="1:19" x14ac:dyDescent="0.25">
      <c r="B24" s="1">
        <v>581327</v>
      </c>
      <c r="C24" s="1" t="s">
        <v>35</v>
      </c>
      <c r="D24" s="6">
        <v>0.23799999999999999</v>
      </c>
      <c r="E24" s="6">
        <v>0.11899999999999999</v>
      </c>
      <c r="F24" s="7"/>
      <c r="G24" s="7"/>
      <c r="H24" s="131">
        <v>7385</v>
      </c>
      <c r="I24" s="3">
        <v>6159.96</v>
      </c>
      <c r="J24" s="3"/>
      <c r="N24" s="1"/>
      <c r="O24" s="1"/>
      <c r="P24" s="6"/>
      <c r="Q24" s="5"/>
      <c r="R24" s="7"/>
      <c r="S24" s="7"/>
    </row>
    <row r="25" spans="1:19" x14ac:dyDescent="0.25">
      <c r="B25" s="1"/>
      <c r="C25" s="1" t="s">
        <v>36</v>
      </c>
      <c r="D25" s="6">
        <v>0.36699999999999999</v>
      </c>
      <c r="E25" s="5"/>
      <c r="F25" s="7"/>
      <c r="G25" s="7"/>
      <c r="H25" s="131">
        <v>4500</v>
      </c>
      <c r="I25" s="3">
        <v>2789.26</v>
      </c>
      <c r="J25" s="3"/>
      <c r="N25" s="1"/>
      <c r="O25" s="1"/>
      <c r="P25" s="6"/>
      <c r="Q25" s="5"/>
      <c r="R25" s="7"/>
    </row>
    <row r="26" spans="1:19" x14ac:dyDescent="0.25">
      <c r="B26" s="1"/>
      <c r="C26" s="1" t="s">
        <v>37</v>
      </c>
      <c r="D26" s="6">
        <v>0.39500000000000002</v>
      </c>
      <c r="E26" s="5"/>
      <c r="F26" s="7"/>
      <c r="G26" s="7"/>
      <c r="H26" s="131">
        <v>2100</v>
      </c>
      <c r="I26" s="3">
        <v>891</v>
      </c>
      <c r="J26" s="3"/>
      <c r="N26" s="1"/>
      <c r="O26" s="1"/>
      <c r="P26" s="6"/>
      <c r="Q26" s="5"/>
      <c r="R26" s="7"/>
    </row>
    <row r="27" spans="1:19" x14ac:dyDescent="0.25">
      <c r="D27" s="6"/>
      <c r="H27" s="131">
        <v>1827</v>
      </c>
      <c r="I27" s="3">
        <v>491.26</v>
      </c>
      <c r="J27" s="3"/>
    </row>
    <row r="28" spans="1:19" x14ac:dyDescent="0.25">
      <c r="A28" s="168"/>
      <c r="B28" s="168"/>
      <c r="C28" s="168"/>
      <c r="Q28" s="11"/>
    </row>
    <row r="29" spans="1:19" x14ac:dyDescent="0.25">
      <c r="A29" s="140"/>
      <c r="B29" s="32"/>
      <c r="C29" s="32"/>
    </row>
    <row r="30" spans="1:19" x14ac:dyDescent="0.25">
      <c r="A30" s="32"/>
      <c r="B30" s="32"/>
      <c r="C30" s="32"/>
    </row>
    <row r="31" spans="1:19" x14ac:dyDescent="0.25">
      <c r="A31" s="138"/>
      <c r="B31" s="138"/>
      <c r="C31" s="138"/>
      <c r="D31" s="138"/>
    </row>
    <row r="32" spans="1:19" x14ac:dyDescent="0.25">
      <c r="A32" s="141"/>
      <c r="B32" s="139"/>
      <c r="C32" s="139"/>
    </row>
    <row r="33" spans="1:3" x14ac:dyDescent="0.25">
      <c r="A33" s="141"/>
      <c r="B33" s="139"/>
      <c r="C33" s="139"/>
    </row>
    <row r="34" spans="1:3" x14ac:dyDescent="0.25">
      <c r="A34" s="141"/>
      <c r="B34" s="139"/>
      <c r="C34" s="139"/>
    </row>
    <row r="35" spans="1:3" x14ac:dyDescent="0.25">
      <c r="A35" s="141"/>
      <c r="B35" s="139"/>
      <c r="C35" s="139"/>
    </row>
    <row r="36" spans="1:3" x14ac:dyDescent="0.25">
      <c r="A36" s="141"/>
      <c r="B36" s="139"/>
      <c r="C36" s="139"/>
    </row>
    <row r="37" spans="1:3" x14ac:dyDescent="0.25">
      <c r="A37" s="141"/>
      <c r="B37" s="139"/>
      <c r="C37" s="139"/>
    </row>
    <row r="38" spans="1:3" x14ac:dyDescent="0.25">
      <c r="A38" s="141"/>
      <c r="B38" s="139"/>
      <c r="C38" s="139"/>
    </row>
    <row r="39" spans="1:3" x14ac:dyDescent="0.25">
      <c r="A39" s="141"/>
      <c r="B39" s="139"/>
      <c r="C39" s="139"/>
    </row>
    <row r="40" spans="1:3" x14ac:dyDescent="0.25">
      <c r="A40" s="141"/>
      <c r="B40" s="139"/>
      <c r="C40" s="139"/>
    </row>
  </sheetData>
  <mergeCells count="1">
    <mergeCell ref="A28:C2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BA5F-CEE5-46A4-B082-952B40C29918}">
  <sheetPr codeName="Planilha8"/>
  <dimension ref="A1:AA25"/>
  <sheetViews>
    <sheetView topLeftCell="K1" zoomScale="80" zoomScaleNormal="80" workbookViewId="0">
      <selection activeCell="U3" sqref="U3"/>
    </sheetView>
  </sheetViews>
  <sheetFormatPr defaultRowHeight="15" x14ac:dyDescent="0.25"/>
  <cols>
    <col min="1" max="1" width="14.42578125" bestFit="1" customWidth="1"/>
    <col min="2" max="2" width="14.42578125" customWidth="1"/>
    <col min="3" max="3" width="21.5703125" customWidth="1"/>
    <col min="4" max="5" width="19.85546875" customWidth="1"/>
    <col min="6" max="6" width="14.42578125" customWidth="1"/>
    <col min="7" max="8" width="18.7109375" customWidth="1"/>
    <col min="9" max="9" width="18.42578125" customWidth="1"/>
    <col min="10" max="10" width="1.7109375" customWidth="1"/>
    <col min="11" max="11" width="18.7109375" customWidth="1"/>
    <col min="12" max="12" width="17.7109375" customWidth="1"/>
    <col min="13" max="13" width="1.7109375" customWidth="1"/>
    <col min="14" max="14" width="20.7109375" customWidth="1"/>
    <col min="15" max="19" width="22.28515625" customWidth="1"/>
    <col min="20" max="20" width="19.28515625" customWidth="1"/>
    <col min="21" max="21" width="21.28515625" customWidth="1"/>
    <col min="22" max="22" width="1.7109375" customWidth="1"/>
    <col min="23" max="23" width="14.5703125" customWidth="1"/>
    <col min="24" max="24" width="17.7109375" customWidth="1"/>
    <col min="25" max="25" width="20" customWidth="1"/>
    <col min="26" max="26" width="17.7109375" customWidth="1"/>
    <col min="27" max="27" width="20.5703125" customWidth="1"/>
  </cols>
  <sheetData>
    <row r="1" spans="1:27" s="1" customFormat="1" ht="45" x14ac:dyDescent="0.25">
      <c r="A1" s="142" t="s">
        <v>38</v>
      </c>
      <c r="B1" s="143" t="s">
        <v>39</v>
      </c>
      <c r="C1" s="143" t="s">
        <v>40</v>
      </c>
      <c r="D1" s="144" t="s">
        <v>41</v>
      </c>
      <c r="E1" s="144" t="s">
        <v>42</v>
      </c>
      <c r="F1" s="143" t="s">
        <v>43</v>
      </c>
      <c r="G1" s="143" t="s">
        <v>44</v>
      </c>
      <c r="H1" s="143" t="s">
        <v>45</v>
      </c>
      <c r="I1" s="145" t="s">
        <v>46</v>
      </c>
      <c r="J1" s="146"/>
      <c r="K1" s="147" t="s">
        <v>47</v>
      </c>
      <c r="L1" s="145" t="s">
        <v>48</v>
      </c>
      <c r="M1" s="146"/>
      <c r="N1" s="147" t="s">
        <v>49</v>
      </c>
      <c r="O1" s="143" t="s">
        <v>50</v>
      </c>
      <c r="P1" s="143" t="s">
        <v>51</v>
      </c>
      <c r="Q1" s="143" t="s">
        <v>52</v>
      </c>
      <c r="R1" s="143" t="s">
        <v>53</v>
      </c>
      <c r="S1" s="148" t="s">
        <v>54</v>
      </c>
      <c r="T1" s="143" t="s">
        <v>55</v>
      </c>
      <c r="U1" s="145" t="s">
        <v>189</v>
      </c>
      <c r="V1" s="146"/>
      <c r="W1" s="147" t="s">
        <v>56</v>
      </c>
      <c r="X1" s="143" t="s">
        <v>57</v>
      </c>
      <c r="Y1" s="143" t="s">
        <v>52</v>
      </c>
      <c r="Z1" s="143" t="s">
        <v>58</v>
      </c>
      <c r="AA1" s="145" t="s">
        <v>59</v>
      </c>
    </row>
    <row r="2" spans="1:27" s="1" customFormat="1" x14ac:dyDescent="0.25">
      <c r="A2" s="149" t="s">
        <v>60</v>
      </c>
      <c r="B2" s="150">
        <v>245116.52955000001</v>
      </c>
      <c r="C2" s="151">
        <f>((B2*dados!$E$11)*dados!$I$2)+((B2*dados!$F$11)*dados!$I$3)+((B2*dados!$C$12)*dados!$I$4)+((B2*dados!$C$13)*dados!$I$5)</f>
        <v>950676123.54467237</v>
      </c>
      <c r="D2" s="152">
        <f>((B2*dados!$E$11)*dados!$I$2)+((B2*dados!$F$11)*dados!$I$3)+((B2*dados!$C$12)*dados!$I$4)+((B2*dados!$C$13)*dados!$I$2)</f>
        <v>1735989993.67396</v>
      </c>
      <c r="E2" s="152">
        <f>D2-(C2+I2+L2+S2+U2+AA2)</f>
        <v>442612870.14120865</v>
      </c>
      <c r="F2" s="153">
        <v>50</v>
      </c>
      <c r="G2" s="150">
        <f>B2/5000</f>
        <v>49.023305910000005</v>
      </c>
      <c r="H2" s="150">
        <v>5</v>
      </c>
      <c r="I2" s="154">
        <f>(15000*5)+(80000*5)+(68500*5)+1050000+36540</f>
        <v>1904040</v>
      </c>
      <c r="J2" s="155"/>
      <c r="K2" s="156">
        <f>G2/5</f>
        <v>9.8046611820000003</v>
      </c>
      <c r="L2" s="154">
        <f>(16000*K2)+(90000*K2)+(78500*K2)</f>
        <v>1808959.9880790003</v>
      </c>
      <c r="M2" s="155"/>
      <c r="N2" s="156">
        <v>245116.52955000001</v>
      </c>
      <c r="O2" s="184">
        <f>N2/1307</f>
        <v>187.54133859984699</v>
      </c>
      <c r="P2" s="184">
        <v>260</v>
      </c>
      <c r="Q2" s="157">
        <f>((O2*100)/P2)/100</f>
        <v>0.72131284076864233</v>
      </c>
      <c r="R2" s="183" t="str">
        <f>IF(Q2&lt;0.5,"5 - Excelente",IF(AND(Q2&gt;=0.5001,Q2&lt;=0.6),"4 - Bom",IF(AND(Q2&gt;0.6001,Q2&lt;=0.75),"3 - Regular",IF(AND(Q2&gt;0.7501,Q2&lt;=0.85),"2 - Ruim",IF(Q2&gt;0.8501,"1 - Péssimo")))))</f>
        <v>3 - Regular</v>
      </c>
      <c r="S2" s="155">
        <f>(P2*1256000)</f>
        <v>326560000</v>
      </c>
      <c r="T2" s="182">
        <f>P2/5</f>
        <v>52</v>
      </c>
      <c r="U2" s="154">
        <f>T2*19000+T2*100000+T2*82500</f>
        <v>10478000</v>
      </c>
      <c r="V2" s="153"/>
      <c r="W2" s="156">
        <f>N2/27000</f>
        <v>9.0783899833333344</v>
      </c>
      <c r="X2" s="153">
        <v>13</v>
      </c>
      <c r="Y2" s="157">
        <f>((W2*100)/X2)/100</f>
        <v>0.69833769102564103</v>
      </c>
      <c r="Z2" s="153" t="str">
        <f>IF(Y2&lt;0.5,"5 - Excelente",IF(AND(Y2&gt;=0.5001,Y2&lt;=0.6),"4 - Bom",IF(AND(Y2&gt;0.6001,Y2&lt;=0.75),"3 - Regular",IF(AND(Y2&gt;0.7501,Y2&lt;=0.85),"2 - Ruim",IF(Y2&gt;0.8501,"1 - Péssimo")))))</f>
        <v>3 - Regular</v>
      </c>
      <c r="AA2" s="154">
        <f>150000*X2</f>
        <v>1950000</v>
      </c>
    </row>
    <row r="3" spans="1:27" s="1" customFormat="1" x14ac:dyDescent="0.25">
      <c r="A3" s="149" t="s">
        <v>61</v>
      </c>
      <c r="B3" s="150">
        <v>210847.30290000001</v>
      </c>
      <c r="C3" s="151">
        <f>((B3*dados!$E$11)*dados!$I$2)+((B3*dados!$F$11)*dados!$I$3)+((B3*dados!$C$12)*dados!$I$4)+((B3*dados!$C$13)*dados!$I$5)</f>
        <v>817764093.46532118</v>
      </c>
      <c r="D3" s="152">
        <f>((B3*dados!$E$11)*dados!$I$2)+((B3*dados!$F$11)*dados!$I$3)+((B3*dados!$C$12)*dados!$I$4)+((B3*dados!$C$13)*dados!$I$2)</f>
        <v>1493284882.4986253</v>
      </c>
      <c r="E3" s="152">
        <f t="shared" ref="E3:E13" si="0">D3-(C3+I3+L3+S3+U3+AA3)</f>
        <v>394472249.03330421</v>
      </c>
      <c r="F3" s="153">
        <v>50</v>
      </c>
      <c r="G3" s="150">
        <f t="shared" ref="G3:G13" si="1">B3/5000</f>
        <v>42.169460579999999</v>
      </c>
      <c r="H3" s="150">
        <v>5</v>
      </c>
      <c r="I3" s="154">
        <f>(68500*5)+36540</f>
        <v>379040</v>
      </c>
      <c r="J3" s="155"/>
      <c r="K3" s="156">
        <v>9</v>
      </c>
      <c r="L3" s="154">
        <f>78500*9</f>
        <v>706500</v>
      </c>
      <c r="M3" s="155"/>
      <c r="N3" s="156">
        <v>210847.30290000001</v>
      </c>
      <c r="O3" s="184">
        <f t="shared" ref="O3:O13" si="2">N3/1307+O2</f>
        <v>348.8629169472074</v>
      </c>
      <c r="P3" s="184">
        <v>470</v>
      </c>
      <c r="Q3" s="157">
        <f t="shared" ref="Q3:Q13" si="3">((O3*100)/P3)/100</f>
        <v>0.74226152541959023</v>
      </c>
      <c r="R3" s="183" t="str">
        <f t="shared" ref="R3:R12" si="4">IF(Q3&lt;0.5,"5 - Excelente",IF(AND(Q3&gt;=0.5001,Q3&lt;=0.6),"4 - Bom",IF(AND(Q3&gt;0.6001,Q3&lt;=0.75),"3 - Regular",IF(AND(Q3&gt;0.7501,Q3&lt;=0.85),"2 - Ruim",IF(Q3&gt;0.8501,"1 - Péssimo")))))</f>
        <v>3 - Regular</v>
      </c>
      <c r="S3" s="155">
        <f>((P3-P2)*1256000)</f>
        <v>263760000</v>
      </c>
      <c r="T3" s="182">
        <f>(P3/5)</f>
        <v>94</v>
      </c>
      <c r="U3" s="154">
        <f>(T3-T2)*19000+(T3-T2)*100000+T3*82500</f>
        <v>12753000</v>
      </c>
      <c r="V3" s="153"/>
      <c r="W3" s="156">
        <f t="shared" ref="W3:W13" si="5">N3/27000+W2</f>
        <v>16.88754935</v>
      </c>
      <c r="X3" s="153">
        <v>23</v>
      </c>
      <c r="Y3" s="157">
        <f>((W3*100)/X3)/100</f>
        <v>0.73424127608695655</v>
      </c>
      <c r="Z3" s="153" t="str">
        <f t="shared" ref="Z3:Z13" si="6">IF(Y3&lt;0.5,"5 - Excelente",IF(AND(Y3&gt;=0.5001,Y3&lt;=0.6),"4 - Bom",IF(AND(Y3&gt;0.6001,Y3&lt;=0.75),"3 - Regular",IF(AND(Y3&gt;0.7501,Y3&lt;=0.85),"2 - Ruim",IF(Y3&gt;0.8501,"1 - Péssimo")))))</f>
        <v>3 - Regular</v>
      </c>
      <c r="AA3" s="154">
        <f t="shared" ref="AA3:AA13" si="7">150000*X3</f>
        <v>3450000</v>
      </c>
    </row>
    <row r="4" spans="1:27" s="1" customFormat="1" x14ac:dyDescent="0.25">
      <c r="A4" s="149" t="s">
        <v>62</v>
      </c>
      <c r="B4" s="150">
        <v>223927.16040000002</v>
      </c>
      <c r="C4" s="151">
        <f>((B4*dados!$E$11)*dados!$I$2)+((B4*dados!$F$11)*dados!$I$3)+((B4*dados!$C$12)*dados!$I$4)+((B4*dados!$C$13)*dados!$I$5)</f>
        <v>868493875.93835616</v>
      </c>
      <c r="D4" s="152">
        <f>((B4*dados!$E$11)*dados!$I$2)+((B4*dados!$F$11)*dados!$I$3)+((B4*dados!$C$12)*dados!$I$4)+((B4*dados!$C$13)*dados!$I$2)</f>
        <v>1585920421.1151652</v>
      </c>
      <c r="E4" s="152">
        <f t="shared" si="0"/>
        <v>405337005.17680907</v>
      </c>
      <c r="F4" s="153">
        <v>50</v>
      </c>
      <c r="G4" s="150">
        <f t="shared" si="1"/>
        <v>44.785432080000007</v>
      </c>
      <c r="H4" s="150">
        <v>5</v>
      </c>
      <c r="I4" s="154">
        <f t="shared" ref="I4:I9" si="8">(68500*5)+36540</f>
        <v>379040</v>
      </c>
      <c r="J4" s="155"/>
      <c r="K4" s="156">
        <f t="shared" ref="K4:K12" si="9">G4/5</f>
        <v>8.957086416000001</v>
      </c>
      <c r="L4" s="154">
        <f t="shared" ref="L4:L10" si="10">78500*9</f>
        <v>706500</v>
      </c>
      <c r="M4" s="155"/>
      <c r="N4" s="156">
        <v>223927.16040000002</v>
      </c>
      <c r="O4" s="184">
        <f t="shared" si="2"/>
        <v>520.19203737566954</v>
      </c>
      <c r="P4" s="184">
        <v>700</v>
      </c>
      <c r="Q4" s="157">
        <f t="shared" si="3"/>
        <v>0.74313148196524226</v>
      </c>
      <c r="R4" s="183" t="str">
        <f t="shared" si="4"/>
        <v>3 - Regular</v>
      </c>
      <c r="S4" s="155">
        <f t="shared" ref="S4:S13" si="11">((P4-P3)*1256000)</f>
        <v>288880000</v>
      </c>
      <c r="T4" s="182">
        <f t="shared" ref="T2:T13" si="12">P4/5</f>
        <v>140</v>
      </c>
      <c r="U4" s="154">
        <f>(T4-T3)*19000+(T4-T3)*100000+T4*82500</f>
        <v>17024000</v>
      </c>
      <c r="V4" s="153"/>
      <c r="W4" s="156">
        <f t="shared" si="5"/>
        <v>25.181147883333335</v>
      </c>
      <c r="X4" s="153">
        <v>34</v>
      </c>
      <c r="Y4" s="157">
        <f t="shared" ref="Y4:Y13" si="13">((W4*100)/X4)/100</f>
        <v>0.74062199656862748</v>
      </c>
      <c r="Z4" s="153" t="str">
        <f t="shared" si="6"/>
        <v>3 - Regular</v>
      </c>
      <c r="AA4" s="154">
        <f t="shared" si="7"/>
        <v>5100000</v>
      </c>
    </row>
    <row r="5" spans="1:27" s="1" customFormat="1" x14ac:dyDescent="0.25">
      <c r="A5" s="149" t="s">
        <v>63</v>
      </c>
      <c r="B5" s="150">
        <v>210847.30290000001</v>
      </c>
      <c r="C5" s="151">
        <f>((B5*dados!$E$11)*dados!$I$2)+((B5*dados!$F$11)*dados!$I$3)+((B5*dados!$C$12)*dados!$I$4)+((B5*dados!$C$13)*dados!$I$5)</f>
        <v>817764093.46532118</v>
      </c>
      <c r="D5" s="152">
        <f>((B5*dados!$E$11)*dados!$I$2)+((B5*dados!$F$11)*dados!$I$3)+((B5*dados!$C$12)*dados!$I$4)+((B5*dados!$C$13)*dados!$I$2)</f>
        <v>1493284882.4986253</v>
      </c>
      <c r="E5" s="152">
        <f t="shared" si="0"/>
        <v>383912249.03330421</v>
      </c>
      <c r="F5" s="153">
        <v>50</v>
      </c>
      <c r="G5" s="150">
        <f t="shared" si="1"/>
        <v>42.169460579999999</v>
      </c>
      <c r="H5" s="150">
        <v>5</v>
      </c>
      <c r="I5" s="154">
        <f t="shared" si="8"/>
        <v>379040</v>
      </c>
      <c r="J5" s="155"/>
      <c r="K5" s="156">
        <v>9</v>
      </c>
      <c r="L5" s="154">
        <f t="shared" si="10"/>
        <v>706500</v>
      </c>
      <c r="M5" s="155"/>
      <c r="N5" s="156">
        <v>210847.30290000001</v>
      </c>
      <c r="O5" s="184">
        <f t="shared" si="2"/>
        <v>681.51361572302994</v>
      </c>
      <c r="P5" s="184">
        <v>910</v>
      </c>
      <c r="Q5" s="157">
        <f t="shared" si="3"/>
        <v>0.74891606123409882</v>
      </c>
      <c r="R5" s="183" t="str">
        <f t="shared" si="4"/>
        <v>3 - Regular</v>
      </c>
      <c r="S5" s="155">
        <f t="shared" si="11"/>
        <v>263760000</v>
      </c>
      <c r="T5" s="182">
        <f t="shared" si="12"/>
        <v>182</v>
      </c>
      <c r="U5" s="154">
        <f t="shared" ref="U5:U13" si="14">(T5-T4)*19000+(T5-T4)*100000+T5*82500</f>
        <v>20013000</v>
      </c>
      <c r="V5" s="153"/>
      <c r="W5" s="156">
        <f t="shared" si="5"/>
        <v>32.990307250000001</v>
      </c>
      <c r="X5" s="153">
        <v>45</v>
      </c>
      <c r="Y5" s="157">
        <f t="shared" si="13"/>
        <v>0.73311793888888888</v>
      </c>
      <c r="Z5" s="153" t="str">
        <f t="shared" si="6"/>
        <v>3 - Regular</v>
      </c>
      <c r="AA5" s="154">
        <f t="shared" si="7"/>
        <v>6750000</v>
      </c>
    </row>
    <row r="6" spans="1:27" s="1" customFormat="1" x14ac:dyDescent="0.25">
      <c r="A6" s="149" t="s">
        <v>64</v>
      </c>
      <c r="B6" s="150">
        <v>237007.01790000001</v>
      </c>
      <c r="C6" s="151">
        <f>((B6*dados!$E$11)*dados!$I$2)+((B6*dados!$F$11)*dados!$I$3)+((B6*dados!$C$12)*dados!$I$4)+((B6*dados!$C$13)*dados!$I$5)</f>
        <v>919223658.41139078</v>
      </c>
      <c r="D6" s="152">
        <f>((B6*dados!$E$11)*dados!$I$2)+((B6*dados!$F$11)*dados!$I$3)+((B6*dados!$C$12)*dados!$I$4)+((B6*dados!$C$13)*dados!$I$2)</f>
        <v>1678555959.7317052</v>
      </c>
      <c r="E6" s="152">
        <f t="shared" si="0"/>
        <v>408656761.32031441</v>
      </c>
      <c r="F6" s="153">
        <v>50</v>
      </c>
      <c r="G6" s="150">
        <f t="shared" si="1"/>
        <v>47.40140358</v>
      </c>
      <c r="H6" s="150">
        <v>5</v>
      </c>
      <c r="I6" s="154">
        <f t="shared" si="8"/>
        <v>379040</v>
      </c>
      <c r="J6" s="155"/>
      <c r="K6" s="156">
        <v>9</v>
      </c>
      <c r="L6" s="154">
        <f t="shared" si="10"/>
        <v>706500</v>
      </c>
      <c r="M6" s="155"/>
      <c r="N6" s="156">
        <v>237007.01790000001</v>
      </c>
      <c r="O6" s="184">
        <f t="shared" si="2"/>
        <v>862.85027823259384</v>
      </c>
      <c r="P6" s="184">
        <v>1160</v>
      </c>
      <c r="Q6" s="157">
        <f t="shared" si="3"/>
        <v>0.74383644675223604</v>
      </c>
      <c r="R6" s="183" t="str">
        <f t="shared" si="4"/>
        <v>3 - Regular</v>
      </c>
      <c r="S6" s="155">
        <f t="shared" si="11"/>
        <v>314000000</v>
      </c>
      <c r="T6" s="182">
        <f t="shared" si="12"/>
        <v>232</v>
      </c>
      <c r="U6" s="154">
        <f t="shared" si="14"/>
        <v>25090000</v>
      </c>
      <c r="V6" s="153"/>
      <c r="W6" s="156">
        <f t="shared" si="5"/>
        <v>41.768344949999999</v>
      </c>
      <c r="X6" s="153">
        <v>70</v>
      </c>
      <c r="Y6" s="157">
        <f t="shared" si="13"/>
        <v>0.59669064214285716</v>
      </c>
      <c r="Z6" s="153" t="str">
        <f t="shared" si="6"/>
        <v>4 - Bom</v>
      </c>
      <c r="AA6" s="154">
        <f t="shared" si="7"/>
        <v>10500000</v>
      </c>
    </row>
    <row r="7" spans="1:27" s="1" customFormat="1" x14ac:dyDescent="0.25">
      <c r="A7" s="149" t="s">
        <v>65</v>
      </c>
      <c r="B7" s="150">
        <v>221311.18890000001</v>
      </c>
      <c r="C7" s="151">
        <f>((B7*dados!$E$11)*dados!$I$2)+((B7*dados!$F$11)*dados!$I$3)+((B7*dados!$C$12)*dados!$I$4)+((B7*dados!$C$13)*dados!$I$5)</f>
        <v>858347919.44374907</v>
      </c>
      <c r="D7" s="152">
        <f>((B7*dados!$E$11)*dados!$I$2)+((B7*dados!$F$11)*dados!$I$3)+((B7*dados!$C$12)*dados!$I$4)+((B7*dados!$C$13)*dados!$I$2)</f>
        <v>1567393313.3918571</v>
      </c>
      <c r="E7" s="152">
        <f t="shared" si="0"/>
        <v>391033853.9481082</v>
      </c>
      <c r="F7" s="153">
        <v>50</v>
      </c>
      <c r="G7" s="150">
        <f t="shared" si="1"/>
        <v>44.26223778</v>
      </c>
      <c r="H7" s="150">
        <v>5</v>
      </c>
      <c r="I7" s="154">
        <f t="shared" si="8"/>
        <v>379040</v>
      </c>
      <c r="J7" s="155"/>
      <c r="K7" s="156">
        <f t="shared" si="9"/>
        <v>8.8524475559999996</v>
      </c>
      <c r="L7" s="154">
        <f t="shared" si="10"/>
        <v>706500</v>
      </c>
      <c r="M7" s="155"/>
      <c r="N7" s="156">
        <v>221311.18890000001</v>
      </c>
      <c r="O7" s="184">
        <f t="shared" si="2"/>
        <v>1032.1778902448357</v>
      </c>
      <c r="P7" s="184">
        <v>1380</v>
      </c>
      <c r="Q7" s="157">
        <f t="shared" si="3"/>
        <v>0.7479549929310404</v>
      </c>
      <c r="R7" s="183" t="str">
        <f t="shared" si="4"/>
        <v>3 - Regular</v>
      </c>
      <c r="S7" s="155">
        <f t="shared" si="11"/>
        <v>276320000</v>
      </c>
      <c r="T7" s="182">
        <f t="shared" si="12"/>
        <v>276</v>
      </c>
      <c r="U7" s="154">
        <f t="shared" si="14"/>
        <v>28006000</v>
      </c>
      <c r="V7" s="153"/>
      <c r="W7" s="156">
        <f t="shared" si="5"/>
        <v>49.965055649999996</v>
      </c>
      <c r="X7" s="153">
        <v>84</v>
      </c>
      <c r="Y7" s="157">
        <f t="shared" si="13"/>
        <v>0.59482209107142847</v>
      </c>
      <c r="Z7" s="153" t="str">
        <f t="shared" si="6"/>
        <v>4 - Bom</v>
      </c>
      <c r="AA7" s="154">
        <f t="shared" si="7"/>
        <v>12600000</v>
      </c>
    </row>
    <row r="8" spans="1:27" s="1" customFormat="1" x14ac:dyDescent="0.25">
      <c r="A8" s="149" t="s">
        <v>66</v>
      </c>
      <c r="B8" s="150">
        <v>210847.30290000001</v>
      </c>
      <c r="C8" s="151">
        <f>((B8*dados!$E$11)*dados!$I$2)+((B8*dados!$F$11)*dados!$I$3)+((B8*dados!$C$12)*dados!$I$4)+((B8*dados!$C$13)*dados!$I$5)</f>
        <v>817764093.46532118</v>
      </c>
      <c r="D8" s="152">
        <f>((B8*dados!$E$11)*dados!$I$2)+((B8*dados!$F$11)*dados!$I$3)+((B8*dados!$C$12)*dados!$I$4)+((B8*dados!$C$13)*dados!$I$2)</f>
        <v>1493284882.4986253</v>
      </c>
      <c r="E8" s="152">
        <f t="shared" si="0"/>
        <v>351779249.03330421</v>
      </c>
      <c r="F8" s="153">
        <v>50</v>
      </c>
      <c r="G8" s="150">
        <f t="shared" si="1"/>
        <v>42.169460579999999</v>
      </c>
      <c r="H8" s="150">
        <v>5</v>
      </c>
      <c r="I8" s="154">
        <f t="shared" si="8"/>
        <v>379040</v>
      </c>
      <c r="J8" s="155"/>
      <c r="K8" s="156">
        <v>9</v>
      </c>
      <c r="L8" s="154">
        <f t="shared" si="10"/>
        <v>706500</v>
      </c>
      <c r="M8" s="155"/>
      <c r="N8" s="156">
        <v>210847.30290000001</v>
      </c>
      <c r="O8" s="184">
        <f t="shared" si="2"/>
        <v>1193.4994685921961</v>
      </c>
      <c r="P8" s="184">
        <v>1600</v>
      </c>
      <c r="Q8" s="157">
        <f t="shared" si="3"/>
        <v>0.74593716787012254</v>
      </c>
      <c r="R8" s="183" t="str">
        <f t="shared" si="4"/>
        <v>3 - Regular</v>
      </c>
      <c r="S8" s="155">
        <f t="shared" si="11"/>
        <v>276320000</v>
      </c>
      <c r="T8" s="182">
        <f t="shared" si="12"/>
        <v>320</v>
      </c>
      <c r="U8" s="154">
        <f t="shared" si="14"/>
        <v>31636000</v>
      </c>
      <c r="V8" s="153"/>
      <c r="W8" s="156">
        <f t="shared" si="5"/>
        <v>57.774215016666666</v>
      </c>
      <c r="X8" s="153">
        <v>98</v>
      </c>
      <c r="Y8" s="157">
        <f t="shared" si="13"/>
        <v>0.58953280629251703</v>
      </c>
      <c r="Z8" s="153" t="str">
        <f t="shared" si="6"/>
        <v>4 - Bom</v>
      </c>
      <c r="AA8" s="154">
        <f t="shared" si="7"/>
        <v>14700000</v>
      </c>
    </row>
    <row r="9" spans="1:27" s="1" customFormat="1" x14ac:dyDescent="0.25">
      <c r="A9" s="149" t="s">
        <v>67</v>
      </c>
      <c r="B9" s="150">
        <v>210847.30290000001</v>
      </c>
      <c r="C9" s="151">
        <f>((B9*dados!$E$11)*dados!$I$2)+((B9*dados!$F$11)*dados!$I$3)+((B9*dados!$C$12)*dados!$I$4)+((B9*dados!$C$13)*dados!$I$5)</f>
        <v>817764093.46532118</v>
      </c>
      <c r="D9" s="152">
        <f>((B9*dados!$E$11)*dados!$I$2)+((B9*dados!$F$11)*dados!$I$3)+((B9*dados!$C$12)*dados!$I$4)+((B9*dados!$C$13)*dados!$I$2)</f>
        <v>1493284882.4986253</v>
      </c>
      <c r="E9" s="152">
        <f t="shared" si="0"/>
        <v>333086249.03330421</v>
      </c>
      <c r="F9" s="153">
        <v>50</v>
      </c>
      <c r="G9" s="150">
        <f t="shared" si="1"/>
        <v>42.169460579999999</v>
      </c>
      <c r="H9" s="150">
        <v>5</v>
      </c>
      <c r="I9" s="154">
        <f t="shared" si="8"/>
        <v>379040</v>
      </c>
      <c r="J9" s="155"/>
      <c r="K9" s="156">
        <v>9</v>
      </c>
      <c r="L9" s="154">
        <f t="shared" si="10"/>
        <v>706500</v>
      </c>
      <c r="M9" s="155"/>
      <c r="N9" s="156">
        <v>210847.30290000001</v>
      </c>
      <c r="O9" s="184">
        <f t="shared" si="2"/>
        <v>1354.8210469395565</v>
      </c>
      <c r="P9" s="184">
        <v>1830</v>
      </c>
      <c r="Q9" s="157">
        <f t="shared" si="3"/>
        <v>0.74033936991232596</v>
      </c>
      <c r="R9" s="183" t="str">
        <f t="shared" si="4"/>
        <v>3 - Regular</v>
      </c>
      <c r="S9" s="155">
        <f t="shared" si="11"/>
        <v>288880000</v>
      </c>
      <c r="T9" s="182">
        <f t="shared" si="12"/>
        <v>366</v>
      </c>
      <c r="U9" s="154">
        <f t="shared" si="14"/>
        <v>35669000</v>
      </c>
      <c r="V9" s="153"/>
      <c r="W9" s="156">
        <f t="shared" si="5"/>
        <v>65.583374383333336</v>
      </c>
      <c r="X9" s="153">
        <v>112</v>
      </c>
      <c r="Y9" s="157">
        <f>((W9*100)/X9)/100</f>
        <v>0.58556584270833345</v>
      </c>
      <c r="Z9" s="153" t="str">
        <f t="shared" si="6"/>
        <v>4 - Bom</v>
      </c>
      <c r="AA9" s="154">
        <f t="shared" si="7"/>
        <v>16800000</v>
      </c>
    </row>
    <row r="10" spans="1:27" s="1" customFormat="1" x14ac:dyDescent="0.25">
      <c r="A10" s="149" t="s">
        <v>68</v>
      </c>
      <c r="B10" s="150">
        <v>194889.87675</v>
      </c>
      <c r="C10" s="151">
        <f>((B10*dados!$E$11)*dados!$I$2)+((B10*dados!$F$11)*dados!$I$3)+((B10*dados!$C$12)*dados!$I$4)+((B10*dados!$C$13)*dados!$I$5)</f>
        <v>755873758.8482188</v>
      </c>
      <c r="D10" s="152">
        <f>((B10*dados!$E$11)*dados!$I$2)+((B10*dados!$F$11)*dados!$I$3)+((B10*dados!$C$12)*dados!$I$4)+((B10*dados!$C$13)*dados!$I$2)</f>
        <v>1380269525.3864465</v>
      </c>
      <c r="E10" s="152">
        <f t="shared" si="0"/>
        <v>314955226.53822768</v>
      </c>
      <c r="F10" s="153">
        <v>50</v>
      </c>
      <c r="G10" s="150">
        <f t="shared" si="1"/>
        <v>38.977975350000001</v>
      </c>
      <c r="H10" s="150">
        <v>5</v>
      </c>
      <c r="I10" s="154">
        <f>(68500*5)+36540</f>
        <v>379040</v>
      </c>
      <c r="J10" s="155"/>
      <c r="K10" s="156">
        <v>9</v>
      </c>
      <c r="L10" s="154">
        <f t="shared" si="10"/>
        <v>706500</v>
      </c>
      <c r="M10" s="155"/>
      <c r="N10" s="156">
        <v>194889.87675</v>
      </c>
      <c r="O10" s="184">
        <f t="shared" si="2"/>
        <v>1503.9334239479726</v>
      </c>
      <c r="P10" s="184">
        <v>2030</v>
      </c>
      <c r="Q10" s="157">
        <f t="shared" si="3"/>
        <v>0.74085390342264679</v>
      </c>
      <c r="R10" s="183" t="str">
        <f t="shared" si="4"/>
        <v>3 - Regular</v>
      </c>
      <c r="S10" s="155">
        <f t="shared" si="11"/>
        <v>251200000</v>
      </c>
      <c r="T10" s="182">
        <f t="shared" si="12"/>
        <v>406</v>
      </c>
      <c r="U10" s="154">
        <f t="shared" si="14"/>
        <v>38255000</v>
      </c>
      <c r="V10" s="153"/>
      <c r="W10" s="156">
        <f t="shared" si="5"/>
        <v>72.801517966666665</v>
      </c>
      <c r="X10" s="153">
        <v>126</v>
      </c>
      <c r="Y10" s="157">
        <f t="shared" si="13"/>
        <v>0.57778982513227517</v>
      </c>
      <c r="Z10" s="153" t="str">
        <f t="shared" si="6"/>
        <v>4 - Bom</v>
      </c>
      <c r="AA10" s="154">
        <f t="shared" si="7"/>
        <v>18900000</v>
      </c>
    </row>
    <row r="11" spans="1:27" s="1" customFormat="1" x14ac:dyDescent="0.25">
      <c r="A11" s="149" t="s">
        <v>69</v>
      </c>
      <c r="B11" s="150">
        <v>158004.67859999998</v>
      </c>
      <c r="C11" s="151">
        <f>((B11*dados!$E$11)*dados!$I$2)+((B11*dados!$F$11)*dados!$I$3)+((B11*dados!$C$12)*dados!$I$4)+((B11*dados!$C$13)*dados!$I$5)</f>
        <v>612815772.27426052</v>
      </c>
      <c r="D11" s="152">
        <f>((B11*dados!$E$11)*dados!$I$2)+((B11*dados!$F$11)*dados!$I$3)+((B11*dados!$C$12)*dados!$I$4)+((B11*dados!$C$13)*dados!$I$2)</f>
        <v>1119037306.4878035</v>
      </c>
      <c r="E11" s="152">
        <f t="shared" si="0"/>
        <v>269158994.21354294</v>
      </c>
      <c r="F11" s="153">
        <v>50</v>
      </c>
      <c r="G11" s="150">
        <f t="shared" si="1"/>
        <v>31.600935719999995</v>
      </c>
      <c r="H11" s="150">
        <v>5</v>
      </c>
      <c r="I11" s="154">
        <f>(68500*5)+36540</f>
        <v>379040</v>
      </c>
      <c r="J11" s="155"/>
      <c r="K11" s="156">
        <v>9</v>
      </c>
      <c r="L11" s="154">
        <f>78500*K11</f>
        <v>706500</v>
      </c>
      <c r="M11" s="155"/>
      <c r="N11" s="156">
        <v>158004.67859999998</v>
      </c>
      <c r="O11" s="184">
        <f t="shared" si="2"/>
        <v>1624.8245322876819</v>
      </c>
      <c r="P11" s="184">
        <v>2170</v>
      </c>
      <c r="Q11" s="157">
        <f t="shared" si="3"/>
        <v>0.74876706557036032</v>
      </c>
      <c r="R11" s="183" t="str">
        <f t="shared" si="4"/>
        <v>3 - Regular</v>
      </c>
      <c r="S11" s="155">
        <f t="shared" si="11"/>
        <v>175840000</v>
      </c>
      <c r="T11" s="182">
        <f t="shared" si="12"/>
        <v>434</v>
      </c>
      <c r="U11" s="154">
        <f t="shared" si="14"/>
        <v>39137000</v>
      </c>
      <c r="V11" s="153"/>
      <c r="W11" s="156">
        <f t="shared" si="5"/>
        <v>78.653543099999993</v>
      </c>
      <c r="X11" s="153">
        <v>140</v>
      </c>
      <c r="Y11" s="157">
        <f t="shared" si="13"/>
        <v>0.56181102214285716</v>
      </c>
      <c r="Z11" s="153" t="str">
        <f t="shared" si="6"/>
        <v>4 - Bom</v>
      </c>
      <c r="AA11" s="154">
        <f t="shared" si="7"/>
        <v>21000000</v>
      </c>
    </row>
    <row r="12" spans="1:27" s="1" customFormat="1" x14ac:dyDescent="0.25">
      <c r="A12" s="149" t="s">
        <v>70</v>
      </c>
      <c r="B12" s="150">
        <v>276508.18754999997</v>
      </c>
      <c r="C12" s="151">
        <f>((B12*dados!$E$11)*dados!$I$2)+((B12*dados!$F$11)*dados!$I$3)+((B12*dados!$C$12)*dados!$I$4)+((B12*dados!$C$13)*dados!$I$5)</f>
        <v>1072427601.4799559</v>
      </c>
      <c r="D12" s="152">
        <f>((B12*dados!$E$11)*dados!$I$2)+((B12*dados!$F$11)*dados!$I$3)+((B12*dados!$C$12)*dados!$I$4)+((B12*dados!$C$13)*dados!$I$2)</f>
        <v>1958315286.3536558</v>
      </c>
      <c r="E12" s="152">
        <f t="shared" si="0"/>
        <v>460564907.8736999</v>
      </c>
      <c r="F12" s="153">
        <v>75</v>
      </c>
      <c r="G12" s="150">
        <f>B12/5000</f>
        <v>55.301637509999992</v>
      </c>
      <c r="H12" s="150">
        <v>6</v>
      </c>
      <c r="I12" s="154">
        <f>(68500*6)+(15000+80000)+525000+(36540+14437)</f>
        <v>1081977</v>
      </c>
      <c r="J12" s="155"/>
      <c r="K12" s="156">
        <f t="shared" si="9"/>
        <v>11.060327501999998</v>
      </c>
      <c r="L12" s="154">
        <f>(78500*11)+(2*16000)+(2*90000)</f>
        <v>1075500</v>
      </c>
      <c r="M12" s="155"/>
      <c r="N12" s="156">
        <v>276508.18754999997</v>
      </c>
      <c r="O12" s="184">
        <f t="shared" si="2"/>
        <v>1836.383971882173</v>
      </c>
      <c r="P12" s="184">
        <v>2451</v>
      </c>
      <c r="Q12" s="157">
        <f t="shared" si="3"/>
        <v>0.74923866661859362</v>
      </c>
      <c r="R12" s="183" t="str">
        <f t="shared" si="4"/>
        <v>3 - Regular</v>
      </c>
      <c r="S12" s="155">
        <f>((P12-P11)*1256000)</f>
        <v>352936000</v>
      </c>
      <c r="T12" s="182">
        <f t="shared" si="12"/>
        <v>490.2</v>
      </c>
      <c r="U12" s="154">
        <f t="shared" si="14"/>
        <v>47129300</v>
      </c>
      <c r="V12" s="153"/>
      <c r="W12" s="156">
        <f t="shared" si="5"/>
        <v>88.89458708333332</v>
      </c>
      <c r="X12" s="153">
        <v>154</v>
      </c>
      <c r="Y12" s="157">
        <f t="shared" si="13"/>
        <v>0.57723757846320334</v>
      </c>
      <c r="Z12" s="153" t="str">
        <f t="shared" si="6"/>
        <v>4 - Bom</v>
      </c>
      <c r="AA12" s="154">
        <f t="shared" si="7"/>
        <v>23100000</v>
      </c>
    </row>
    <row r="13" spans="1:27" s="1" customFormat="1" x14ac:dyDescent="0.25">
      <c r="A13" s="149" t="s">
        <v>71</v>
      </c>
      <c r="B13" s="150">
        <v>216079.24589999998</v>
      </c>
      <c r="C13" s="151">
        <f>((B13*dados!$E$11)*dados!$I$2)+((B13*dados!$F$11)*dados!$I$3)+((B13*dados!$C$12)*dados!$I$4)+((B13*dados!$C$13)*dados!$I$5)</f>
        <v>838056006.45453501</v>
      </c>
      <c r="D13" s="152">
        <f>((B13*dados!$E$11)*dados!$I$2)+((B13*dados!$F$11)*dados!$I$3)+((B13*dados!$C$12)*dados!$I$4)+((B13*dados!$C$13)*dados!$I$2)</f>
        <v>1530339097.945241</v>
      </c>
      <c r="E13" s="152">
        <f t="shared" si="0"/>
        <v>340130114.49070597</v>
      </c>
      <c r="F13" s="153">
        <v>75</v>
      </c>
      <c r="G13" s="150">
        <f t="shared" si="1"/>
        <v>43.215849179999999</v>
      </c>
      <c r="H13" s="150">
        <v>6</v>
      </c>
      <c r="I13" s="154">
        <f>(68500*6)+14437+36540</f>
        <v>461977</v>
      </c>
      <c r="J13" s="155"/>
      <c r="K13" s="156">
        <v>11</v>
      </c>
      <c r="L13" s="154">
        <f>78500*K13</f>
        <v>863500</v>
      </c>
      <c r="M13" s="155"/>
      <c r="N13" s="156">
        <v>216079.24589999998</v>
      </c>
      <c r="O13" s="184">
        <f t="shared" si="2"/>
        <v>2001.708567061974</v>
      </c>
      <c r="P13" s="184">
        <v>2671</v>
      </c>
      <c r="Q13" s="157">
        <f t="shared" si="3"/>
        <v>0.74942290043503335</v>
      </c>
      <c r="R13" s="183" t="str">
        <f>IF(Q13&lt;0.5,"5 - Excelente",IF(AND(Q13&gt;=0.5001,Q13&lt;=0.6),"4 - Bom",IF(AND(Q13&gt;0.6001,Q13&lt;=0.75),"3 - Regular",IF(AND(Q13&gt;0.7501,Q13&lt;=0.85),"2 - Ruim",IF(Q13&gt;0.8501,"1 - Péssimo")))))</f>
        <v>3 - Regular</v>
      </c>
      <c r="S13" s="155">
        <f>((P13-P12)*1256000)</f>
        <v>276320000</v>
      </c>
      <c r="T13" s="182">
        <f>P13/5</f>
        <v>534.20000000000005</v>
      </c>
      <c r="U13" s="154">
        <f t="shared" si="14"/>
        <v>49307500.000000015</v>
      </c>
      <c r="V13" s="153"/>
      <c r="W13" s="156">
        <f t="shared" si="5"/>
        <v>96.89752211666665</v>
      </c>
      <c r="X13" s="153">
        <v>168</v>
      </c>
      <c r="Y13" s="157">
        <f t="shared" si="13"/>
        <v>0.57677096498015856</v>
      </c>
      <c r="Z13" s="153" t="str">
        <f t="shared" si="6"/>
        <v>4 - Bom</v>
      </c>
      <c r="AA13" s="154">
        <f t="shared" si="7"/>
        <v>25200000</v>
      </c>
    </row>
    <row r="14" spans="1:27" s="1" customFormat="1" ht="15.75" thickBot="1" x14ac:dyDescent="0.3">
      <c r="A14" s="158"/>
      <c r="B14" s="159" t="s">
        <v>72</v>
      </c>
      <c r="C14" s="160">
        <f>SUM(C2:C13)</f>
        <v>10146971090.256424</v>
      </c>
      <c r="D14" s="160">
        <f>SUM(D2:D13)</f>
        <v>18528960434.080334</v>
      </c>
      <c r="E14" s="160">
        <f>SUM(E2:E13)</f>
        <v>4495699729.8358326</v>
      </c>
      <c r="F14" s="159"/>
      <c r="G14" s="159"/>
      <c r="H14" s="159" t="s">
        <v>73</v>
      </c>
      <c r="I14" s="161">
        <f>SUM(I2:I13)</f>
        <v>6859354</v>
      </c>
      <c r="J14" s="162"/>
      <c r="K14" s="158" t="s">
        <v>73</v>
      </c>
      <c r="L14" s="161">
        <f>SUM(L2:L13)</f>
        <v>10106459.988079</v>
      </c>
      <c r="M14" s="162"/>
      <c r="N14" s="158"/>
      <c r="O14" s="159"/>
      <c r="P14" s="159"/>
      <c r="Q14" s="159"/>
      <c r="R14" s="159" t="s">
        <v>73</v>
      </c>
      <c r="S14" s="163">
        <f>SUM(S2:S13)</f>
        <v>3354776000</v>
      </c>
      <c r="T14" s="159" t="s">
        <v>72</v>
      </c>
      <c r="U14" s="161">
        <f>SUM(U2:U13)</f>
        <v>354497800</v>
      </c>
      <c r="V14" s="153"/>
      <c r="W14" s="158"/>
      <c r="X14" s="159"/>
      <c r="Y14" s="159"/>
      <c r="Z14" s="159" t="s">
        <v>73</v>
      </c>
      <c r="AA14" s="161">
        <f>SUM(AA2:AA13)</f>
        <v>160050000</v>
      </c>
    </row>
    <row r="15" spans="1:27" s="1" customFormat="1" x14ac:dyDescent="0.25">
      <c r="I15" s="181"/>
      <c r="L15" s="181"/>
    </row>
    <row r="16" spans="1:27" x14ac:dyDescent="0.25">
      <c r="L16" s="181"/>
      <c r="N16" s="5"/>
    </row>
    <row r="17" spans="12:12" x14ac:dyDescent="0.25">
      <c r="L17" s="181"/>
    </row>
    <row r="18" spans="12:12" x14ac:dyDescent="0.25">
      <c r="L18" s="181"/>
    </row>
    <row r="19" spans="12:12" x14ac:dyDescent="0.25">
      <c r="L19" s="181"/>
    </row>
    <row r="20" spans="12:12" x14ac:dyDescent="0.25">
      <c r="L20" s="181"/>
    </row>
    <row r="21" spans="12:12" x14ac:dyDescent="0.25">
      <c r="L21" s="181"/>
    </row>
    <row r="22" spans="12:12" x14ac:dyDescent="0.25">
      <c r="L22" s="181"/>
    </row>
    <row r="23" spans="12:12" x14ac:dyDescent="0.25">
      <c r="L23" s="181"/>
    </row>
    <row r="24" spans="12:12" x14ac:dyDescent="0.25">
      <c r="L24" s="181"/>
    </row>
    <row r="25" spans="12:12" x14ac:dyDescent="0.25">
      <c r="L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AEC1C-35E1-4834-B97C-BECC06A0A08A}">
  <sheetPr codeName="Planilha13"/>
  <dimension ref="A1:AA25"/>
  <sheetViews>
    <sheetView tabSelected="1" topLeftCell="P1" zoomScale="80" zoomScaleNormal="80" workbookViewId="0">
      <selection activeCell="X4" sqref="X4"/>
    </sheetView>
  </sheetViews>
  <sheetFormatPr defaultRowHeight="15" x14ac:dyDescent="0.25"/>
  <cols>
    <col min="1" max="1" width="14.42578125" bestFit="1" customWidth="1"/>
    <col min="2" max="2" width="14.42578125" customWidth="1"/>
    <col min="3" max="3" width="21.5703125" customWidth="1"/>
    <col min="4" max="5" width="19.85546875" customWidth="1"/>
    <col min="6" max="6" width="14.42578125" customWidth="1"/>
    <col min="7" max="8" width="18.7109375" customWidth="1"/>
    <col min="9" max="9" width="18.42578125" customWidth="1"/>
    <col min="10" max="10" width="1.7109375" customWidth="1"/>
    <col min="11" max="11" width="18.7109375" customWidth="1"/>
    <col min="12" max="12" width="17.7109375" customWidth="1"/>
    <col min="13" max="13" width="1.7109375" customWidth="1"/>
    <col min="14" max="14" width="20.7109375" customWidth="1"/>
    <col min="15" max="19" width="22.28515625" customWidth="1"/>
    <col min="20" max="20" width="19.28515625" customWidth="1"/>
    <col min="21" max="21" width="21.28515625" customWidth="1"/>
    <col min="22" max="22" width="1.7109375" customWidth="1"/>
    <col min="23" max="23" width="14.5703125" customWidth="1"/>
    <col min="24" max="24" width="17.7109375" customWidth="1"/>
    <col min="25" max="25" width="20" customWidth="1"/>
    <col min="26" max="26" width="17.7109375" customWidth="1"/>
    <col min="27" max="27" width="20.5703125" customWidth="1"/>
  </cols>
  <sheetData>
    <row r="1" spans="1:27" s="1" customFormat="1" ht="45" x14ac:dyDescent="0.25">
      <c r="A1" s="142" t="s">
        <v>38</v>
      </c>
      <c r="B1" s="143" t="s">
        <v>39</v>
      </c>
      <c r="C1" s="143" t="s">
        <v>40</v>
      </c>
      <c r="D1" s="144" t="s">
        <v>41</v>
      </c>
      <c r="E1" s="144" t="s">
        <v>42</v>
      </c>
      <c r="F1" s="143" t="s">
        <v>43</v>
      </c>
      <c r="G1" s="143" t="s">
        <v>191</v>
      </c>
      <c r="H1" s="143" t="s">
        <v>45</v>
      </c>
      <c r="I1" s="145" t="s">
        <v>46</v>
      </c>
      <c r="J1" s="146"/>
      <c r="K1" s="147" t="s">
        <v>47</v>
      </c>
      <c r="L1" s="145" t="s">
        <v>48</v>
      </c>
      <c r="M1" s="146"/>
      <c r="N1" s="147" t="s">
        <v>49</v>
      </c>
      <c r="O1" s="143" t="s">
        <v>50</v>
      </c>
      <c r="P1" s="143" t="s">
        <v>51</v>
      </c>
      <c r="Q1" s="143" t="s">
        <v>52</v>
      </c>
      <c r="R1" s="143" t="s">
        <v>53</v>
      </c>
      <c r="S1" s="148" t="s">
        <v>54</v>
      </c>
      <c r="T1" s="143" t="s">
        <v>55</v>
      </c>
      <c r="U1" s="145" t="s">
        <v>189</v>
      </c>
      <c r="V1" s="146"/>
      <c r="W1" s="147" t="s">
        <v>56</v>
      </c>
      <c r="X1" s="143" t="s">
        <v>57</v>
      </c>
      <c r="Y1" s="143" t="s">
        <v>52</v>
      </c>
      <c r="Z1" s="143" t="s">
        <v>58</v>
      </c>
      <c r="AA1" s="145" t="s">
        <v>59</v>
      </c>
    </row>
    <row r="2" spans="1:27" s="1" customFormat="1" x14ac:dyDescent="0.25">
      <c r="A2" s="149" t="s">
        <v>60</v>
      </c>
      <c r="B2" s="150">
        <v>163411.01969999998</v>
      </c>
      <c r="C2" s="151">
        <f>((B2*dados!$E$11)*dados!$K$2)+((B2*dados!$F$11)*dados!$K$3)+((B2*dados!$C$12)*dados!$K$4)+((B2*dados!$C$13)*dados!$K$5)</f>
        <v>599140191.73398566</v>
      </c>
      <c r="D2" s="152">
        <f>((B2*dados!$E$11)*dados!$K$2)+((B2*dados!$F$11)*dados!$K$3)+((B2*dados!$C$12)*dados!$K$4)+((B2*dados!$C$13)*dados!$K$2)</f>
        <v>1080679504.6598213</v>
      </c>
      <c r="E2" s="152">
        <f>D2-(C2+I2+L2+S2+U2+AA2)</f>
        <v>310101174.15910935</v>
      </c>
      <c r="F2" s="153">
        <v>50</v>
      </c>
      <c r="G2" s="150">
        <f>B2/5000</f>
        <v>32.682203939999994</v>
      </c>
      <c r="H2" s="150">
        <v>5</v>
      </c>
      <c r="I2" s="154">
        <f>(15000*5)+(80000*5)+(68500*5)+1050000+36540</f>
        <v>1904040</v>
      </c>
      <c r="J2" s="155"/>
      <c r="K2" s="156">
        <v>8</v>
      </c>
      <c r="L2" s="154">
        <f>(16000*K2)+(90000*K2)+(78500*K2)</f>
        <v>1476000</v>
      </c>
      <c r="M2" s="155"/>
      <c r="N2" s="156">
        <v>163411.01969999998</v>
      </c>
      <c r="O2" s="184">
        <f>N2/1727</f>
        <v>94.621320034742311</v>
      </c>
      <c r="P2" s="184">
        <f>O2+(0.36*O2)</f>
        <v>128.68499524724953</v>
      </c>
      <c r="Q2" s="157">
        <f>((O2*100)/P2)/100</f>
        <v>0.73529411764705888</v>
      </c>
      <c r="R2" s="183" t="str">
        <f>IF(Q2&lt;0.5,"5 - Excelente",IF(AND(Q2&gt;=0.5001,Q2&lt;=0.6),"4 - Bom",IF(AND(Q2&gt;0.6001,Q2&lt;=0.75),"3 - Regular",IF(AND(Q2&gt;0.7501,Q2&lt;=0.85),"2 - Ruim",IF(Q2&gt;0.8501,"1 - Péssimo")))))</f>
        <v>3 - Regular</v>
      </c>
      <c r="S2" s="155">
        <f>(P2*1256000)</f>
        <v>161628354.03054541</v>
      </c>
      <c r="T2" s="182">
        <f>P2/5</f>
        <v>25.736999049449906</v>
      </c>
      <c r="U2" s="154">
        <f>T2*19000+T2*100000+T2*82500</f>
        <v>5186005.3084641565</v>
      </c>
      <c r="V2" s="153"/>
      <c r="W2" s="156">
        <f>N2/27000</f>
        <v>6.0522599888888884</v>
      </c>
      <c r="X2" s="150">
        <f>W2+(W2*0.37)</f>
        <v>8.2915961847777773</v>
      </c>
      <c r="Y2" s="157">
        <f>((W2*100)/X2)/100</f>
        <v>0.72992700729927007</v>
      </c>
      <c r="Z2" s="153" t="str">
        <f>IF(Y2&lt;0.5,"5 - Excelente",IF(AND(Y2&gt;=0.5001,Y2&lt;=0.6),"4 - Bom",IF(AND(Y2&gt;0.6001,Y2&lt;=0.75),"3 - Regular",IF(AND(Y2&gt;0.7501,Y2&lt;=0.85),"2 - Ruim",IF(Y2&gt;0.8501,"1 - Péssimo")))))</f>
        <v>3 - Regular</v>
      </c>
      <c r="AA2" s="154">
        <f>150000*X2</f>
        <v>1243739.4277166666</v>
      </c>
    </row>
    <row r="3" spans="1:27" s="1" customFormat="1" x14ac:dyDescent="0.25">
      <c r="A3" s="149" t="s">
        <v>61</v>
      </c>
      <c r="B3" s="150">
        <v>140564.86860000002</v>
      </c>
      <c r="C3" s="151">
        <f>((B3*dados!$E$11)*dados!$K$2)+((B3*dados!$F$11)*dados!$K$3)+((B3*dados!$C$12)*dados!$K$4)+((B3*dados!$C$13)*dados!$K$5)</f>
        <v>515375661.19273478</v>
      </c>
      <c r="D3" s="152">
        <f>((B3*dados!$E$11)*dados!$K$2)+((B3*dados!$F$11)*dados!$K$3)+((B3*dados!$C$12)*dados!$K$4)+((B3*dados!$C$13)*dados!$K$2)</f>
        <v>929591975.19297338</v>
      </c>
      <c r="E3" s="152">
        <f t="shared" ref="E3:E13" si="0">D3-(C3+I3+L3+S3+U3+AA3)</f>
        <v>265279982.83826208</v>
      </c>
      <c r="F3" s="153">
        <v>50</v>
      </c>
      <c r="G3" s="150">
        <f>B3/5000</f>
        <v>28.112973720000003</v>
      </c>
      <c r="H3" s="150">
        <v>5</v>
      </c>
      <c r="I3" s="154">
        <f>(68500*5)+36540</f>
        <v>379040</v>
      </c>
      <c r="J3" s="155"/>
      <c r="K3" s="156">
        <v>8</v>
      </c>
      <c r="L3" s="154">
        <f>78500*K3</f>
        <v>628000</v>
      </c>
      <c r="M3" s="155"/>
      <c r="N3" s="156">
        <v>140564.86860000002</v>
      </c>
      <c r="O3" s="184">
        <f>N3/1727+O2</f>
        <v>176.0138322524609</v>
      </c>
      <c r="P3" s="184">
        <f t="shared" ref="P3:P13" si="1">O3+(0.36*O3)</f>
        <v>239.37881186334681</v>
      </c>
      <c r="Q3" s="157">
        <f t="shared" ref="Q3:Q13" si="2">((O3*100)/P3)/100</f>
        <v>0.73529411764705888</v>
      </c>
      <c r="R3" s="183" t="str">
        <f t="shared" ref="R3:R12" si="3">IF(Q3&lt;0.5,"5 - Excelente",IF(AND(Q3&gt;=0.5001,Q3&lt;=0.6),"4 - Bom",IF(AND(Q3&gt;0.6001,Q3&lt;=0.75),"3 - Regular",IF(AND(Q3&gt;0.7501,Q3&lt;=0.85),"2 - Ruim",IF(Q3&gt;0.8501,"1 - Péssimo")))))</f>
        <v>3 - Regular</v>
      </c>
      <c r="S3" s="155">
        <f>((P3-P2)*1256000)</f>
        <v>139031433.66981819</v>
      </c>
      <c r="T3" s="182">
        <f>(P3/5)</f>
        <v>47.875762372669364</v>
      </c>
      <c r="U3" s="154">
        <f>(T3-T2)*19000+(T3-T2)*100000+T3*82500</f>
        <v>6584263.2312083375</v>
      </c>
      <c r="V3" s="153"/>
      <c r="W3" s="156">
        <f>N3/27000+W2</f>
        <v>11.258366233333334</v>
      </c>
      <c r="X3" s="150">
        <f>W3+(W3*0.37)</f>
        <v>15.423961739666666</v>
      </c>
      <c r="Y3" s="157">
        <f>((W3*100)/X3)/100</f>
        <v>0.72992700729927007</v>
      </c>
      <c r="Z3" s="153" t="str">
        <f t="shared" ref="Z3:Z13" si="4">IF(Y3&lt;0.5,"5 - Excelente",IF(AND(Y3&gt;=0.5001,Y3&lt;=0.6),"4 - Bom",IF(AND(Y3&gt;0.6001,Y3&lt;=0.75),"3 - Regular",IF(AND(Y3&gt;0.7501,Y3&lt;=0.85),"2 - Ruim",IF(Y3&gt;0.8501,"1 - Péssimo")))))</f>
        <v>3 - Regular</v>
      </c>
      <c r="AA3" s="154">
        <f t="shared" ref="AA3:AA13" si="5">150000*X3</f>
        <v>2313594.26095</v>
      </c>
    </row>
    <row r="4" spans="1:27" s="1" customFormat="1" x14ac:dyDescent="0.25">
      <c r="A4" s="149" t="s">
        <v>62</v>
      </c>
      <c r="B4" s="150">
        <v>149284.77359999999</v>
      </c>
      <c r="C4" s="151">
        <f>((B4*dados!$E$11)*dados!$K$2)+((B4*dados!$F$11)*dados!$K$3)+((B4*dados!$C$12)*dados!$K$4)+((B4*dados!$C$13)*dados!$K$5)</f>
        <v>547346856.05580759</v>
      </c>
      <c r="D4" s="152">
        <f>((B4*dados!$E$11)*dados!$K$2)+((B4*dados!$F$11)*dados!$K$3)+((B4*dados!$C$12)*dados!$K$4)+((B4*dados!$C$13)*dados!$K$2)</f>
        <v>987258971.17268634</v>
      </c>
      <c r="E4" s="152">
        <f t="shared" si="0"/>
        <v>279111599.67649341</v>
      </c>
      <c r="F4" s="153">
        <v>50</v>
      </c>
      <c r="G4" s="150">
        <f>B4/5000</f>
        <v>29.856954719999997</v>
      </c>
      <c r="H4" s="150">
        <v>5</v>
      </c>
      <c r="I4" s="154">
        <f>(68500*5)+36540</f>
        <v>379040</v>
      </c>
      <c r="J4" s="155"/>
      <c r="K4" s="156">
        <v>8</v>
      </c>
      <c r="L4" s="154">
        <f t="shared" ref="L4:L13" si="6">78500*K4</f>
        <v>628000</v>
      </c>
      <c r="M4" s="155"/>
      <c r="N4" s="156">
        <v>149284.77359999999</v>
      </c>
      <c r="O4" s="184">
        <f t="shared" ref="O4:O13" si="7">N4/1727+O3</f>
        <v>262.45550775911983</v>
      </c>
      <c r="P4" s="184">
        <f t="shared" si="1"/>
        <v>356.93949055240296</v>
      </c>
      <c r="Q4" s="157">
        <f t="shared" si="2"/>
        <v>0.73529411764705888</v>
      </c>
      <c r="R4" s="183" t="str">
        <f t="shared" si="3"/>
        <v>3 - Regular</v>
      </c>
      <c r="S4" s="155">
        <f>((P4-P3)*1256000)</f>
        <v>147656212.43345451</v>
      </c>
      <c r="T4" s="182">
        <f>P4/5</f>
        <v>71.387898110480592</v>
      </c>
      <c r="U4" s="154">
        <f>(T4-T3)*19000+(T4-T3)*100000+T4*82500</f>
        <v>8687445.7469141856</v>
      </c>
      <c r="V4" s="153"/>
      <c r="W4" s="156">
        <f t="shared" ref="W3:W13" si="8">N4/27000+W3</f>
        <v>16.787431922222222</v>
      </c>
      <c r="X4" s="150">
        <f t="shared" ref="X4:X13" si="9">W4+(W4*0.37)</f>
        <v>22.998781733444446</v>
      </c>
      <c r="Y4" s="157">
        <f t="shared" ref="Y4:Y13" si="10">((W4*100)/X4)/100</f>
        <v>0.72992700729927007</v>
      </c>
      <c r="Z4" s="153" t="str">
        <f t="shared" si="4"/>
        <v>3 - Regular</v>
      </c>
      <c r="AA4" s="154">
        <f t="shared" si="5"/>
        <v>3449817.2600166667</v>
      </c>
    </row>
    <row r="5" spans="1:27" s="1" customFormat="1" x14ac:dyDescent="0.25">
      <c r="A5" s="149" t="s">
        <v>63</v>
      </c>
      <c r="B5" s="150">
        <v>140564.86860000002</v>
      </c>
      <c r="C5" s="151">
        <f>((B5*dados!$E$11)*dados!$K$2)+((B5*dados!$F$11)*dados!$K$3)+((B5*dados!$C$12)*dados!$K$4)+((B5*dados!$C$13)*dados!$K$5)</f>
        <v>515375661.19273478</v>
      </c>
      <c r="D5" s="152">
        <f>((B5*dados!$E$11)*dados!$K$2)+((B5*dados!$F$11)*dados!$K$3)+((B5*dados!$C$12)*dados!$K$4)+((B5*dados!$C$13)*dados!$K$2)</f>
        <v>929591975.19297338</v>
      </c>
      <c r="E5" s="152">
        <f t="shared" si="0"/>
        <v>259307705.83342695</v>
      </c>
      <c r="F5" s="153">
        <v>50</v>
      </c>
      <c r="G5" s="150">
        <f>B5/5000</f>
        <v>28.112973720000003</v>
      </c>
      <c r="H5" s="150">
        <v>5</v>
      </c>
      <c r="I5" s="154">
        <f>(68500*5)+36540</f>
        <v>379040</v>
      </c>
      <c r="J5" s="155"/>
      <c r="K5" s="156">
        <v>8</v>
      </c>
      <c r="L5" s="154">
        <f t="shared" si="6"/>
        <v>628000</v>
      </c>
      <c r="M5" s="155"/>
      <c r="N5" s="156">
        <v>140564.86860000002</v>
      </c>
      <c r="O5" s="184">
        <f t="shared" si="7"/>
        <v>343.84801997683843</v>
      </c>
      <c r="P5" s="184">
        <f t="shared" si="1"/>
        <v>467.63330716850027</v>
      </c>
      <c r="Q5" s="157">
        <f t="shared" si="2"/>
        <v>0.73529411764705865</v>
      </c>
      <c r="R5" s="183" t="str">
        <f t="shared" si="3"/>
        <v>3 - Regular</v>
      </c>
      <c r="S5" s="155">
        <f t="shared" ref="S4:S13" si="11">((P5-P4)*1256000)</f>
        <v>139031433.66981822</v>
      </c>
      <c r="T5" s="182">
        <f>P5/5</f>
        <v>93.526661433700056</v>
      </c>
      <c r="U5" s="154">
        <f t="shared" ref="U5:U13" si="12">(T5-T4)*19000+(T5-T4)*100000+T5*82500</f>
        <v>10350462.403743371</v>
      </c>
      <c r="V5" s="153"/>
      <c r="W5" s="156">
        <f t="shared" si="8"/>
        <v>21.993538166666667</v>
      </c>
      <c r="X5" s="150">
        <f t="shared" si="9"/>
        <v>30.131147288333334</v>
      </c>
      <c r="Y5" s="157">
        <f t="shared" si="10"/>
        <v>0.72992700729927007</v>
      </c>
      <c r="Z5" s="153" t="str">
        <f t="shared" si="4"/>
        <v>3 - Regular</v>
      </c>
      <c r="AA5" s="154">
        <f t="shared" si="5"/>
        <v>4519672.0932499999</v>
      </c>
    </row>
    <row r="6" spans="1:27" s="1" customFormat="1" x14ac:dyDescent="0.25">
      <c r="A6" s="149" t="s">
        <v>64</v>
      </c>
      <c r="B6" s="150">
        <v>158004.67859999998</v>
      </c>
      <c r="C6" s="151">
        <f>((B6*dados!$E$11)*dados!$K$2)+((B6*dados!$F$11)*dados!$K$3)+((B6*dados!$C$12)*dados!$K$4)+((B6*dados!$C$13)*dados!$K$5)</f>
        <v>579318050.91888046</v>
      </c>
      <c r="D6" s="152">
        <f>((B6*dados!$E$11)*dados!$K$2)+((B6*dados!$F$11)*dados!$K$3)+((B6*dados!$C$12)*dados!$K$4)+((B6*dados!$C$13)*dados!$K$2)</f>
        <v>1044925967.1523993</v>
      </c>
      <c r="E6" s="152">
        <f t="shared" si="0"/>
        <v>289867242.3172884</v>
      </c>
      <c r="F6" s="153">
        <v>50</v>
      </c>
      <c r="G6" s="150">
        <f t="shared" ref="G3:G13" si="13">B6/5000</f>
        <v>31.600935719999995</v>
      </c>
      <c r="H6" s="150">
        <v>5</v>
      </c>
      <c r="I6" s="154">
        <f>(68500*5)+36540</f>
        <v>379040</v>
      </c>
      <c r="J6" s="155"/>
      <c r="K6" s="156">
        <v>8</v>
      </c>
      <c r="L6" s="154">
        <f t="shared" si="6"/>
        <v>628000</v>
      </c>
      <c r="M6" s="155"/>
      <c r="N6" s="156">
        <v>158004.67859999998</v>
      </c>
      <c r="O6" s="184">
        <f t="shared" si="7"/>
        <v>435.33885877243773</v>
      </c>
      <c r="P6" s="184">
        <f t="shared" si="1"/>
        <v>592.06084793051537</v>
      </c>
      <c r="Q6" s="157">
        <f t="shared" si="2"/>
        <v>0.73529411764705888</v>
      </c>
      <c r="R6" s="183" t="str">
        <f t="shared" si="3"/>
        <v>3 - Regular</v>
      </c>
      <c r="S6" s="155">
        <f t="shared" si="11"/>
        <v>156280991.19709095</v>
      </c>
      <c r="T6" s="182">
        <f>P6/5</f>
        <v>118.41216958610308</v>
      </c>
      <c r="U6" s="154">
        <f t="shared" si="12"/>
        <v>12730379.460989462</v>
      </c>
      <c r="V6" s="153"/>
      <c r="W6" s="156">
        <f t="shared" si="8"/>
        <v>27.845563300000002</v>
      </c>
      <c r="X6" s="150">
        <f t="shared" si="9"/>
        <v>38.148421721000005</v>
      </c>
      <c r="Y6" s="157">
        <f t="shared" si="10"/>
        <v>0.72992700729927007</v>
      </c>
      <c r="Z6" s="153" t="str">
        <f t="shared" si="4"/>
        <v>3 - Regular</v>
      </c>
      <c r="AA6" s="154">
        <f t="shared" si="5"/>
        <v>5722263.2581500011</v>
      </c>
    </row>
    <row r="7" spans="1:27" s="1" customFormat="1" x14ac:dyDescent="0.25">
      <c r="A7" s="149" t="s">
        <v>65</v>
      </c>
      <c r="B7" s="150">
        <v>147540.79259999999</v>
      </c>
      <c r="C7" s="151">
        <f>((B7*dados!$E$11)*dados!$K$2)+((B7*dados!$F$11)*dados!$K$3)+((B7*dados!$C$12)*dados!$K$4)+((B7*dados!$C$13)*dados!$K$5)</f>
        <v>540952617.08319306</v>
      </c>
      <c r="D7" s="152">
        <f>((B7*dados!$E$11)*dados!$K$2)+((B7*dados!$F$11)*dados!$K$3)+((B7*dados!$C$12)*dados!$K$4)+((B7*dados!$C$13)*dados!$K$2)</f>
        <v>975725571.9767437</v>
      </c>
      <c r="E7" s="152">
        <f t="shared" si="0"/>
        <v>266538093.15505898</v>
      </c>
      <c r="F7" s="153">
        <v>50</v>
      </c>
      <c r="G7" s="150">
        <f t="shared" si="13"/>
        <v>29.508158519999999</v>
      </c>
      <c r="H7" s="150">
        <v>5</v>
      </c>
      <c r="I7" s="154">
        <f>(68500*5)+36540</f>
        <v>379040</v>
      </c>
      <c r="J7" s="155"/>
      <c r="K7" s="156">
        <v>8</v>
      </c>
      <c r="L7" s="154">
        <f t="shared" si="6"/>
        <v>628000</v>
      </c>
      <c r="M7" s="155"/>
      <c r="N7" s="156">
        <v>147540.79259999999</v>
      </c>
      <c r="O7" s="184">
        <f t="shared" si="7"/>
        <v>520.7707016213086</v>
      </c>
      <c r="P7" s="184">
        <f t="shared" si="1"/>
        <v>708.24815420497976</v>
      </c>
      <c r="Q7" s="157">
        <f t="shared" si="2"/>
        <v>0.73529411764705888</v>
      </c>
      <c r="R7" s="183" t="str">
        <f t="shared" si="3"/>
        <v>3 - Regular</v>
      </c>
      <c r="S7" s="155">
        <f t="shared" si="11"/>
        <v>145931256.68072727</v>
      </c>
      <c r="T7" s="182">
        <f>P7/5</f>
        <v>141.64963084099594</v>
      </c>
      <c r="U7" s="154">
        <f t="shared" si="12"/>
        <v>14451352.433714416</v>
      </c>
      <c r="V7" s="153"/>
      <c r="W7" s="156">
        <f t="shared" si="8"/>
        <v>33.310037100000002</v>
      </c>
      <c r="X7" s="150">
        <f t="shared" si="9"/>
        <v>45.634750827000005</v>
      </c>
      <c r="Y7" s="157">
        <f t="shared" si="10"/>
        <v>0.72992700729927007</v>
      </c>
      <c r="Z7" s="153" t="str">
        <f t="shared" si="4"/>
        <v>3 - Regular</v>
      </c>
      <c r="AA7" s="154">
        <f t="shared" si="5"/>
        <v>6845212.6240500007</v>
      </c>
    </row>
    <row r="8" spans="1:27" s="1" customFormat="1" x14ac:dyDescent="0.25">
      <c r="A8" s="149" t="s">
        <v>66</v>
      </c>
      <c r="B8" s="150">
        <v>140564.86860000002</v>
      </c>
      <c r="C8" s="151">
        <f>((B8*dados!$E$11)*dados!$K$2)+((B8*dados!$F$11)*dados!$K$3)+((B8*dados!$C$12)*dados!$K$4)+((B8*dados!$C$13)*dados!$K$5)</f>
        <v>515375661.19273478</v>
      </c>
      <c r="D8" s="152">
        <f>((B8*dados!$E$11)*dados!$K$2)+((B8*dados!$F$11)*dados!$K$3)+((B8*dados!$C$12)*dados!$K$4)+((B8*dados!$C$13)*dados!$K$2)</f>
        <v>929591975.19297338</v>
      </c>
      <c r="E8" s="152">
        <f t="shared" si="0"/>
        <v>250115717.51912618</v>
      </c>
      <c r="F8" s="153">
        <v>50</v>
      </c>
      <c r="G8" s="150">
        <f t="shared" si="13"/>
        <v>28.112973720000003</v>
      </c>
      <c r="H8" s="150">
        <v>5</v>
      </c>
      <c r="I8" s="154">
        <f>(68500*5)+36540</f>
        <v>379040</v>
      </c>
      <c r="J8" s="155"/>
      <c r="K8" s="156">
        <v>8</v>
      </c>
      <c r="L8" s="154">
        <f t="shared" si="6"/>
        <v>628000</v>
      </c>
      <c r="M8" s="155"/>
      <c r="N8" s="156">
        <v>140564.86860000002</v>
      </c>
      <c r="O8" s="184">
        <f t="shared" si="7"/>
        <v>602.16321383902721</v>
      </c>
      <c r="P8" s="184">
        <f t="shared" si="1"/>
        <v>818.94197082107701</v>
      </c>
      <c r="Q8" s="157">
        <f t="shared" si="2"/>
        <v>0.73529411764705888</v>
      </c>
      <c r="R8" s="183" t="str">
        <f t="shared" si="3"/>
        <v>3 - Regular</v>
      </c>
      <c r="S8" s="155">
        <f t="shared" si="11"/>
        <v>139031433.66981813</v>
      </c>
      <c r="T8" s="182">
        <f>P8/5</f>
        <v>163.78839416421539</v>
      </c>
      <c r="U8" s="154">
        <f t="shared" si="12"/>
        <v>16147055.354010884</v>
      </c>
      <c r="V8" s="153"/>
      <c r="W8" s="156">
        <f t="shared" si="8"/>
        <v>38.516143344444444</v>
      </c>
      <c r="X8" s="150">
        <f t="shared" si="9"/>
        <v>52.76711638188889</v>
      </c>
      <c r="Y8" s="157">
        <f t="shared" si="10"/>
        <v>0.72992700729927007</v>
      </c>
      <c r="Z8" s="153" t="str">
        <f t="shared" si="4"/>
        <v>3 - Regular</v>
      </c>
      <c r="AA8" s="154">
        <f t="shared" si="5"/>
        <v>7915067.4572833339</v>
      </c>
    </row>
    <row r="9" spans="1:27" s="1" customFormat="1" x14ac:dyDescent="0.25">
      <c r="A9" s="149" t="s">
        <v>67</v>
      </c>
      <c r="B9" s="150">
        <v>140564.86860000002</v>
      </c>
      <c r="C9" s="151">
        <f>((B9*dados!$E$11)*dados!$K$2)+((B9*dados!$F$11)*dados!$K$3)+((B9*dados!$C$12)*dados!$K$4)+((B9*dados!$C$13)*dados!$K$5)</f>
        <v>515375661.19273478</v>
      </c>
      <c r="D9" s="152">
        <f>((B9*dados!$E$11)*dados!$K$2)+((B9*dados!$F$11)*dados!$K$3)+((B9*dados!$C$12)*dados!$K$4)+((B9*dados!$C$13)*dados!$K$2)</f>
        <v>929591975.19297338</v>
      </c>
      <c r="E9" s="152">
        <f t="shared" si="0"/>
        <v>247219414.71172738</v>
      </c>
      <c r="F9" s="153">
        <v>50</v>
      </c>
      <c r="G9" s="150">
        <f t="shared" si="13"/>
        <v>28.112973720000003</v>
      </c>
      <c r="H9" s="150">
        <v>5</v>
      </c>
      <c r="I9" s="154">
        <f>(68500*5)+36540</f>
        <v>379040</v>
      </c>
      <c r="J9" s="155"/>
      <c r="K9" s="156">
        <v>8</v>
      </c>
      <c r="L9" s="154">
        <f t="shared" si="6"/>
        <v>628000</v>
      </c>
      <c r="M9" s="155"/>
      <c r="N9" s="156">
        <v>140564.86860000002</v>
      </c>
      <c r="O9" s="184">
        <f t="shared" si="7"/>
        <v>683.55572605674581</v>
      </c>
      <c r="P9" s="184">
        <f t="shared" si="1"/>
        <v>929.63578743717426</v>
      </c>
      <c r="Q9" s="157">
        <f t="shared" si="2"/>
        <v>0.73529411764705888</v>
      </c>
      <c r="R9" s="183" t="str">
        <f t="shared" si="3"/>
        <v>3 - Regular</v>
      </c>
      <c r="S9" s="155">
        <f t="shared" si="11"/>
        <v>139031433.66981813</v>
      </c>
      <c r="T9" s="182">
        <f t="shared" ref="T2:T13" si="14">P9/5</f>
        <v>185.92715748743484</v>
      </c>
      <c r="U9" s="154">
        <f t="shared" si="12"/>
        <v>17973503.328176491</v>
      </c>
      <c r="V9" s="153"/>
      <c r="W9" s="156">
        <f t="shared" si="8"/>
        <v>43.722249588888886</v>
      </c>
      <c r="X9" s="150">
        <f t="shared" si="9"/>
        <v>59.899481936777775</v>
      </c>
      <c r="Y9" s="157">
        <f>((W9*100)/X9)/100</f>
        <v>0.72992700729927007</v>
      </c>
      <c r="Z9" s="153" t="str">
        <f t="shared" si="4"/>
        <v>3 - Regular</v>
      </c>
      <c r="AA9" s="154">
        <f t="shared" si="5"/>
        <v>8984922.2905166671</v>
      </c>
    </row>
    <row r="10" spans="1:27" s="1" customFormat="1" x14ac:dyDescent="0.25">
      <c r="A10" s="149" t="s">
        <v>68</v>
      </c>
      <c r="B10" s="150">
        <v>129926.5845</v>
      </c>
      <c r="C10" s="151">
        <f>((B10*dados!$E$11)*dados!$K$2)+((B10*dados!$F$11)*dados!$K$3)+((B10*dados!$C$12)*dados!$K$4)+((B10*dados!$C$13)*dados!$K$5)</f>
        <v>476370803.45978588</v>
      </c>
      <c r="D10" s="152">
        <f>((B10*dados!$E$11)*dados!$K$2)+((B10*dados!$F$11)*dados!$K$3)+((B10*dados!$C$12)*dados!$K$4)+((B10*dados!$C$13)*dados!$K$2)</f>
        <v>859238240.09772348</v>
      </c>
      <c r="E10" s="152">
        <f t="shared" si="0"/>
        <v>223915049.93665922</v>
      </c>
      <c r="F10" s="153">
        <v>50</v>
      </c>
      <c r="G10" s="150">
        <f t="shared" si="13"/>
        <v>25.985316900000001</v>
      </c>
      <c r="H10" s="150">
        <v>5</v>
      </c>
      <c r="I10" s="154">
        <f>(68500*5)+36540</f>
        <v>379040</v>
      </c>
      <c r="J10" s="155"/>
      <c r="K10" s="156">
        <v>8</v>
      </c>
      <c r="L10" s="154">
        <f t="shared" si="6"/>
        <v>628000</v>
      </c>
      <c r="M10" s="155"/>
      <c r="N10" s="156">
        <v>129926.5845</v>
      </c>
      <c r="O10" s="184">
        <f t="shared" si="7"/>
        <v>758.78825906195721</v>
      </c>
      <c r="P10" s="184">
        <f t="shared" si="1"/>
        <v>1031.9520323242618</v>
      </c>
      <c r="Q10" s="157">
        <f t="shared" si="2"/>
        <v>0.73529411764705888</v>
      </c>
      <c r="R10" s="183" t="str">
        <f t="shared" si="3"/>
        <v>3 - Regular</v>
      </c>
      <c r="S10" s="155">
        <f t="shared" si="11"/>
        <v>128509203.578182</v>
      </c>
      <c r="T10" s="182">
        <f t="shared" si="14"/>
        <v>206.39040646485236</v>
      </c>
      <c r="U10" s="154">
        <f t="shared" si="12"/>
        <v>19462335.161663003</v>
      </c>
      <c r="V10" s="153"/>
      <c r="W10" s="156">
        <f t="shared" si="8"/>
        <v>48.53434531111111</v>
      </c>
      <c r="X10" s="150">
        <f t="shared" si="9"/>
        <v>66.49205307622222</v>
      </c>
      <c r="Y10" s="157">
        <f t="shared" si="10"/>
        <v>0.72992700729927007</v>
      </c>
      <c r="Z10" s="153" t="str">
        <f t="shared" si="4"/>
        <v>3 - Regular</v>
      </c>
      <c r="AA10" s="154">
        <f t="shared" si="5"/>
        <v>9973807.9614333324</v>
      </c>
    </row>
    <row r="11" spans="1:27" s="1" customFormat="1" x14ac:dyDescent="0.25">
      <c r="A11" s="149" t="s">
        <v>69</v>
      </c>
      <c r="B11" s="150">
        <v>105336.45239999999</v>
      </c>
      <c r="C11" s="151">
        <f>((B11*dados!$E$11)*dados!$K$2)+((B11*dados!$F$11)*dados!$K$3)+((B11*dados!$C$12)*dados!$K$4)+((B11*dados!$C$13)*dados!$K$5)</f>
        <v>386212033.94592035</v>
      </c>
      <c r="D11" s="152">
        <f>((B11*dados!$E$11)*dados!$K$2)+((B11*dados!$F$11)*dados!$K$3)+((B11*dados!$C$12)*dados!$K$4)+((B11*dados!$C$13)*dados!$K$2)</f>
        <v>696617311.43493295</v>
      </c>
      <c r="E11" s="152">
        <f t="shared" si="0"/>
        <v>174065212.82442898</v>
      </c>
      <c r="F11" s="153">
        <v>50</v>
      </c>
      <c r="G11" s="150">
        <f t="shared" si="13"/>
        <v>21.06729048</v>
      </c>
      <c r="H11" s="150">
        <v>5</v>
      </c>
      <c r="I11" s="154">
        <f>(68500*5)+36540</f>
        <v>379040</v>
      </c>
      <c r="J11" s="155"/>
      <c r="K11" s="156">
        <v>8</v>
      </c>
      <c r="L11" s="154">
        <f t="shared" si="6"/>
        <v>628000</v>
      </c>
      <c r="M11" s="155"/>
      <c r="N11" s="156">
        <v>105336.45239999999</v>
      </c>
      <c r="O11" s="184">
        <f t="shared" si="7"/>
        <v>819.78215159235674</v>
      </c>
      <c r="P11" s="184">
        <f t="shared" si="1"/>
        <v>1114.9037261656051</v>
      </c>
      <c r="Q11" s="157">
        <f t="shared" si="2"/>
        <v>0.73529411764705888</v>
      </c>
      <c r="R11" s="183" t="str">
        <f t="shared" si="3"/>
        <v>3 - Regular</v>
      </c>
      <c r="S11" s="155">
        <f t="shared" si="11"/>
        <v>104187327.46472716</v>
      </c>
      <c r="T11" s="182">
        <f t="shared" si="14"/>
        <v>222.98074523312101</v>
      </c>
      <c r="U11" s="154">
        <f t="shared" si="12"/>
        <v>20370161.795156453</v>
      </c>
      <c r="V11" s="153"/>
      <c r="W11" s="156">
        <f t="shared" si="8"/>
        <v>52.4356954</v>
      </c>
      <c r="X11" s="150">
        <f t="shared" si="9"/>
        <v>71.836902698000003</v>
      </c>
      <c r="Y11" s="157">
        <f t="shared" si="10"/>
        <v>0.72992700729927007</v>
      </c>
      <c r="Z11" s="153" t="str">
        <f t="shared" si="4"/>
        <v>3 - Regular</v>
      </c>
      <c r="AA11" s="154">
        <f t="shared" si="5"/>
        <v>10775535.4047</v>
      </c>
    </row>
    <row r="12" spans="1:27" s="1" customFormat="1" x14ac:dyDescent="0.25">
      <c r="A12" s="149" t="s">
        <v>70</v>
      </c>
      <c r="B12" s="150">
        <v>184338.79169999997</v>
      </c>
      <c r="C12" s="151">
        <f>((B12*dados!$E$11)*dados!$K$2)+((B12*dados!$F$11)*dados!$K$3)+((B12*dados!$C$12)*dados!$K$4)+((B12*dados!$C$13)*dados!$K$5)</f>
        <v>675871059.40536046</v>
      </c>
      <c r="D12" s="152">
        <f>((B12*dados!$E$11)*dados!$K$2)+((B12*dados!$F$11)*dados!$K$3)+((B12*dados!$C$12)*dados!$K$4)+((B12*dados!$C$13)*dados!$K$2)</f>
        <v>1219080295.0111322</v>
      </c>
      <c r="E12" s="152">
        <f t="shared" si="0"/>
        <v>323449734.42218912</v>
      </c>
      <c r="F12" s="153">
        <v>50</v>
      </c>
      <c r="G12" s="150">
        <f>B12/5000</f>
        <v>36.867758339999995</v>
      </c>
      <c r="H12" s="150">
        <v>5</v>
      </c>
      <c r="I12" s="154">
        <f t="shared" ref="I12:I13" si="15">(68500*5)+36540</f>
        <v>379040</v>
      </c>
      <c r="J12" s="155"/>
      <c r="K12" s="156">
        <v>8</v>
      </c>
      <c r="L12" s="154">
        <f t="shared" si="6"/>
        <v>628000</v>
      </c>
      <c r="M12" s="155"/>
      <c r="N12" s="156">
        <v>184338.79169999997</v>
      </c>
      <c r="O12" s="184">
        <f t="shared" si="7"/>
        <v>926.52146352055593</v>
      </c>
      <c r="P12" s="184">
        <f t="shared" si="1"/>
        <v>1260.069190387956</v>
      </c>
      <c r="Q12" s="157">
        <f t="shared" si="2"/>
        <v>0.73529411764705888</v>
      </c>
      <c r="R12" s="183" t="str">
        <f t="shared" si="3"/>
        <v>3 - Regular</v>
      </c>
      <c r="S12" s="155">
        <f>((P12-P11)*1256000)</f>
        <v>182327823.06327274</v>
      </c>
      <c r="T12" s="182">
        <f t="shared" si="14"/>
        <v>252.0138380775912</v>
      </c>
      <c r="U12" s="154">
        <f t="shared" si="12"/>
        <v>24246079.689893227</v>
      </c>
      <c r="V12" s="153"/>
      <c r="W12" s="156">
        <f t="shared" si="8"/>
        <v>59.263058055555554</v>
      </c>
      <c r="X12" s="150">
        <f t="shared" si="9"/>
        <v>81.190389536111113</v>
      </c>
      <c r="Y12" s="157">
        <f t="shared" si="10"/>
        <v>0.72992700729927007</v>
      </c>
      <c r="Z12" s="153" t="str">
        <f t="shared" si="4"/>
        <v>3 - Regular</v>
      </c>
      <c r="AA12" s="154">
        <f t="shared" si="5"/>
        <v>12178558.430416666</v>
      </c>
    </row>
    <row r="13" spans="1:27" s="1" customFormat="1" x14ac:dyDescent="0.25">
      <c r="A13" s="149" t="s">
        <v>71</v>
      </c>
      <c r="B13" s="150">
        <v>144052.83059999999</v>
      </c>
      <c r="C13" s="151">
        <f>((B13*dados!$E$11)*dados!$K$2)+((B13*dados!$F$11)*dados!$K$3)+((B13*dados!$C$12)*dados!$K$4)+((B13*dados!$C$13)*dados!$K$5)</f>
        <v>528164139.13796389</v>
      </c>
      <c r="D13" s="152">
        <f>((B13*dados!$E$11)*dados!$K$2)+((B13*dados!$F$11)*dados!$K$3)+((B13*dados!$C$12)*dados!$K$4)+((B13*dados!$C$13)*dados!$K$2)</f>
        <v>952658773.58485854</v>
      </c>
      <c r="E13" s="152">
        <f t="shared" si="0"/>
        <v>242368492.47399271</v>
      </c>
      <c r="F13" s="153">
        <v>50</v>
      </c>
      <c r="G13" s="150">
        <f t="shared" si="13"/>
        <v>28.810566119999997</v>
      </c>
      <c r="H13" s="150">
        <v>5</v>
      </c>
      <c r="I13" s="154">
        <f t="shared" si="15"/>
        <v>379040</v>
      </c>
      <c r="J13" s="155"/>
      <c r="K13" s="156">
        <v>8</v>
      </c>
      <c r="L13" s="154">
        <f t="shared" si="6"/>
        <v>628000</v>
      </c>
      <c r="M13" s="155"/>
      <c r="N13" s="156">
        <v>144052.83059999999</v>
      </c>
      <c r="O13" s="184">
        <f t="shared" si="7"/>
        <v>1009.9336410538507</v>
      </c>
      <c r="P13" s="184">
        <f t="shared" si="1"/>
        <v>1373.5097518332368</v>
      </c>
      <c r="Q13" s="157">
        <f t="shared" si="2"/>
        <v>0.73529411764705899</v>
      </c>
      <c r="R13" s="183" t="str">
        <f>IF(Q13&lt;0.5,"5 - Excelente",IF(AND(Q13&gt;=0.5001,Q13&lt;=0.6),"4 - Bom",IF(AND(Q13&gt;0.6001,Q13&lt;=0.75),"3 - Regular",IF(AND(Q13&gt;0.7501,Q13&lt;=0.85),"2 - Ruim",IF(Q13&gt;0.8501,"1 - Péssimo")))))</f>
        <v>3 - Regular</v>
      </c>
      <c r="S13" s="155">
        <f>((P13-P12)*1256000)</f>
        <v>142481345.17527264</v>
      </c>
      <c r="T13" s="182">
        <f>P13/5</f>
        <v>274.70195036664734</v>
      </c>
      <c r="U13" s="154">
        <f t="shared" si="12"/>
        <v>25362796.267646089</v>
      </c>
      <c r="V13" s="153"/>
      <c r="W13" s="156">
        <f t="shared" si="8"/>
        <v>64.598348077777771</v>
      </c>
      <c r="X13" s="150">
        <f t="shared" si="9"/>
        <v>88.499736866555551</v>
      </c>
      <c r="Y13" s="157">
        <f t="shared" si="10"/>
        <v>0.72992700729927007</v>
      </c>
      <c r="Z13" s="153" t="str">
        <f t="shared" si="4"/>
        <v>3 - Regular</v>
      </c>
      <c r="AA13" s="154">
        <f t="shared" si="5"/>
        <v>13274960.529983332</v>
      </c>
    </row>
    <row r="14" spans="1:27" s="1" customFormat="1" ht="15.75" thickBot="1" x14ac:dyDescent="0.3">
      <c r="A14" s="158"/>
      <c r="B14" s="159" t="s">
        <v>72</v>
      </c>
      <c r="C14" s="160">
        <f>SUM(C2:C13)</f>
        <v>6394878396.5118361</v>
      </c>
      <c r="D14" s="160">
        <f>SUM(D2:D13)</f>
        <v>11534552535.86219</v>
      </c>
      <c r="E14" s="160">
        <f>SUM(E2:E13)</f>
        <v>3131339419.867763</v>
      </c>
      <c r="F14" s="159"/>
      <c r="G14" s="159"/>
      <c r="H14" s="159" t="s">
        <v>73</v>
      </c>
      <c r="I14" s="161">
        <f>SUM(I2:I13)</f>
        <v>6073480</v>
      </c>
      <c r="J14" s="162"/>
      <c r="K14" s="158" t="s">
        <v>73</v>
      </c>
      <c r="L14" s="161">
        <f>SUM(L2:L13)</f>
        <v>8384000</v>
      </c>
      <c r="M14" s="162"/>
      <c r="N14" s="158"/>
      <c r="O14" s="159"/>
      <c r="P14" s="159"/>
      <c r="Q14" s="159"/>
      <c r="R14" s="159" t="s">
        <v>73</v>
      </c>
      <c r="S14" s="163">
        <f>SUM(S2:S13)</f>
        <v>1725128248.3025453</v>
      </c>
      <c r="T14" s="159" t="s">
        <v>72</v>
      </c>
      <c r="U14" s="161">
        <f>SUM(U2:U13)</f>
        <v>181551840.18158007</v>
      </c>
      <c r="V14" s="153"/>
      <c r="W14" s="158"/>
      <c r="X14" s="159"/>
      <c r="Y14" s="159"/>
      <c r="Z14" s="159" t="s">
        <v>73</v>
      </c>
      <c r="AA14" s="161">
        <f>SUM(AA2:AA13)</f>
        <v>87197150.998466656</v>
      </c>
    </row>
    <row r="15" spans="1:27" s="1" customFormat="1" x14ac:dyDescent="0.25">
      <c r="I15" s="181"/>
      <c r="L15" s="181"/>
    </row>
    <row r="16" spans="1:27" x14ac:dyDescent="0.25">
      <c r="L16" s="181"/>
      <c r="N16" s="5"/>
    </row>
    <row r="17" spans="12:12" x14ac:dyDescent="0.25">
      <c r="L17" s="181"/>
    </row>
    <row r="18" spans="12:12" x14ac:dyDescent="0.25">
      <c r="L18" s="181"/>
    </row>
    <row r="19" spans="12:12" x14ac:dyDescent="0.25">
      <c r="L19" s="181"/>
    </row>
    <row r="20" spans="12:12" x14ac:dyDescent="0.25">
      <c r="L20" s="181"/>
    </row>
    <row r="21" spans="12:12" x14ac:dyDescent="0.25">
      <c r="L21" s="181"/>
    </row>
    <row r="22" spans="12:12" x14ac:dyDescent="0.25">
      <c r="L22" s="181"/>
    </row>
    <row r="23" spans="12:12" x14ac:dyDescent="0.25">
      <c r="L23" s="181"/>
    </row>
    <row r="24" spans="12:12" x14ac:dyDescent="0.25">
      <c r="L24" s="181"/>
    </row>
    <row r="25" spans="12:12" x14ac:dyDescent="0.25">
      <c r="L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551C-7B05-43A5-B44D-A180A075CC0A}">
  <sheetPr codeName="Planilha3"/>
  <dimension ref="A1:N13"/>
  <sheetViews>
    <sheetView topLeftCell="C1" workbookViewId="0">
      <selection activeCell="D2" sqref="D2"/>
    </sheetView>
  </sheetViews>
  <sheetFormatPr defaultRowHeight="15" x14ac:dyDescent="0.25"/>
  <cols>
    <col min="1" max="2" width="24.42578125" bestFit="1" customWidth="1"/>
    <col min="3" max="3" width="18.85546875" bestFit="1" customWidth="1"/>
    <col min="4" max="4" width="18.85546875" customWidth="1"/>
    <col min="5" max="5" width="18.5703125" bestFit="1" customWidth="1"/>
    <col min="7" max="7" width="14.28515625" customWidth="1"/>
    <col min="8" max="8" width="14.5703125" customWidth="1"/>
    <col min="9" max="10" width="17.42578125" customWidth="1"/>
    <col min="11" max="12" width="22.5703125" customWidth="1"/>
    <col min="13" max="13" width="15.140625" customWidth="1"/>
    <col min="14" max="14" width="23.85546875" bestFit="1" customWidth="1"/>
    <col min="15" max="15" width="12.7109375" bestFit="1" customWidth="1"/>
    <col min="16" max="16" width="9.28515625" bestFit="1" customWidth="1"/>
    <col min="17" max="17" width="7.28515625" bestFit="1" customWidth="1"/>
  </cols>
  <sheetData>
    <row r="1" spans="1:14" ht="60" x14ac:dyDescent="0.25">
      <c r="A1" s="1" t="s">
        <v>74</v>
      </c>
      <c r="B1" s="1" t="s">
        <v>75</v>
      </c>
      <c r="C1" s="1" t="s">
        <v>76</v>
      </c>
      <c r="D1" s="4" t="s">
        <v>186</v>
      </c>
      <c r="E1" s="1" t="s">
        <v>34</v>
      </c>
      <c r="F1" s="1" t="s">
        <v>77</v>
      </c>
      <c r="G1" s="4" t="s">
        <v>78</v>
      </c>
      <c r="H1" s="4" t="s">
        <v>79</v>
      </c>
      <c r="I1" s="127" t="s">
        <v>80</v>
      </c>
      <c r="J1" s="127" t="s">
        <v>81</v>
      </c>
      <c r="K1" s="127" t="s">
        <v>82</v>
      </c>
      <c r="L1" s="127" t="s">
        <v>83</v>
      </c>
      <c r="M1" s="127" t="s">
        <v>84</v>
      </c>
      <c r="N1" s="4" t="s">
        <v>85</v>
      </c>
    </row>
    <row r="2" spans="1:14" x14ac:dyDescent="0.25">
      <c r="A2" s="2">
        <v>1</v>
      </c>
      <c r="B2" t="s">
        <v>13</v>
      </c>
      <c r="C2" s="3">
        <v>7385</v>
      </c>
      <c r="D2" s="3">
        <f>Tabela1[[#This Row],[Preço de custo]]+(Tabela1[[#This Row],[Preço de custo]]*Tabela1[[#This Row],[Impostos]])</f>
        <v>8623.9439999999995</v>
      </c>
      <c r="E2" s="3">
        <v>6159.96</v>
      </c>
      <c r="F2" s="29">
        <v>0.4</v>
      </c>
      <c r="G2" s="3">
        <f>((Tabela1[[#This Row],[Preço Nacional]]*40%)+Tabela1[[#This Row],[Preço Nacional]])-Tabela1[[#This Row],[Preço de custo]]</f>
        <v>4179.04</v>
      </c>
      <c r="H2" s="3">
        <v>219.9</v>
      </c>
      <c r="I2" s="3">
        <f>((Tabela1[[#This Row],[Preço de custo]]+(Tabela1[[#This Row],[Preço de custo]]*Tabela1[[#This Row],[Impostos]]))+'Dados finais professor'!J19+'Dados finais professor'!J21)+(((Tabela1[[#This Row],[Preço de custo]]+(Tabela1[[#This Row],[Preço de custo]]*Tabela1[[#This Row],[Impostos]]))+'Dados finais professor'!J19+'Dados finais professor'!J21)*0.1)+8+7+Tabela1[[#This Row],[Custo do pacote de serviço]]</f>
        <v>10784.426787316159</v>
      </c>
      <c r="J2" s="3">
        <f>Tabela1[[#This Row],[Preço por região:
SUL/SUDESTE]]-Tabela1[[#This Row],[Preço de custo com imposto]]</f>
        <v>2160.4827873161594</v>
      </c>
      <c r="K2" s="3">
        <f>((Tabela1[[#This Row],[Preço de custo]]+(Tabela1[[#This Row],[Preço de custo]]*Tabela1[[#This Row],[Impostos]]))+'Dados finais professor'!K19+'Dados finais professor'!J21)+(((Tabela1[[#This Row],[Preço de custo]]+(Tabela1[[#This Row],[Preço de custo]]*Tabela1[[#This Row],[Impostos]]))+'Dados finais professor'!J19+'Dados finais professor'!J21)*0.05)+8+7+Tabela1[[#This Row],[Custo do pacote de serviço]]</f>
        <v>10071.196227706288</v>
      </c>
      <c r="L2" s="3">
        <f>Tabela1[[#This Row],[Preço por região:
NORDESTE]]-Tabela1[[#This Row],[Preço de custo com imposto]]</f>
        <v>1447.252227706289</v>
      </c>
      <c r="M2" s="3">
        <f>Tabela1[[#This Row],[Preço Nacional]]-(Tabela1[[#This Row],[Preço Nacional]]*0.05)</f>
        <v>7015.75</v>
      </c>
      <c r="N2" s="3">
        <f>(Tabela1[[#This Row],[Preço por região:
NORTE/C.OESTE]]-Tabela1[[#This Row],[Impostos]])-Tabela1[[#This Row],[Preço de custo]]+Tabela1[[#This Row],[Custo do pacote de serviço]]</f>
        <v>1075.2900000000004</v>
      </c>
    </row>
    <row r="3" spans="1:14" x14ac:dyDescent="0.25">
      <c r="A3" s="2">
        <v>2</v>
      </c>
      <c r="B3" t="s">
        <v>14</v>
      </c>
      <c r="C3" s="3">
        <v>4500</v>
      </c>
      <c r="D3" s="3">
        <f>Tabela1[[#This Row],[Preço de custo]]+(Tabela1[[#This Row],[Preço de custo]]*Tabela1[[#This Row],[Impostos]])</f>
        <v>3626.0380000000005</v>
      </c>
      <c r="E3" s="3">
        <v>2789.26</v>
      </c>
      <c r="F3" s="29">
        <v>0.3</v>
      </c>
      <c r="G3" s="3">
        <f>((Tabela1[[#This Row],[Preço Nacional]]*40%)+Tabela1[[#This Row],[Preço Nacional]])-Tabela1[[#This Row],[Preço de custo]]</f>
        <v>3510.74</v>
      </c>
      <c r="H3" s="3">
        <v>149.9</v>
      </c>
      <c r="I3" s="3">
        <f>(Tabela1[[#This Row],[Preço de custo]]+(Tabela1[[#This Row],[Preço de custo]]*Tabela1[[#This Row],[Impostos]]))+'Dados finais professor'!J19+'Dados finais professor'!J21+(((Tabela1[[#This Row],[Preço de custo]]+(Tabela1[[#This Row],[Preço de custo]]*Tabela1[[#This Row],[Impostos]]))+'Dados finais professor'!J19+'Dados finais professor'!J21)*0.2)+8+7+Tabela1[[#This Row],[Custo do pacote de serviço]]</f>
        <v>5675.9874770721763</v>
      </c>
      <c r="J3" s="3">
        <f>Tabela1[[#This Row],[Preço por região:
SUL/SUDESTE]]-Tabela1[[#This Row],[Preço de custo com imposto]]</f>
        <v>2049.9494770721758</v>
      </c>
      <c r="K3" s="3">
        <f>(Tabela1[[#This Row],[Preço de custo]]+(Tabela1[[#This Row],[Preço de custo]]*Tabela1[[#This Row],[Impostos]]))+'Dados finais professor'!K19+'Dados finais professor'!J21+(((Tabela1[[#This Row],[Preço de custo]]+(Tabela1[[#This Row],[Preço de custo]]*Tabela1[[#This Row],[Impostos]]))+'Dados finais professor'!J19+'Dados finais professor'!J21)*0.15)+8+7+Tabela1[[#This Row],[Custo do pacote de serviço]]</f>
        <v>5212.6522174623051</v>
      </c>
      <c r="L3" s="3">
        <f>Tabela1[[#This Row],[Preço por região:
NORDESTE]]-Tabela1[[#This Row],[Preço de custo com imposto]]</f>
        <v>1586.6142174623046</v>
      </c>
      <c r="M3" s="3">
        <f>Tabela1[[#This Row],[Preço Nacional]]-(Tabela1[[#This Row],[Preço Nacional]]*0.05)</f>
        <v>4275</v>
      </c>
      <c r="N3" s="3">
        <f>(Tabela1[[#This Row],[Preço por região:
NORTE/C.OESTE]]-Tabela1[[#This Row],[Impostos]])-Tabela1[[#This Row],[Preço de custo]]+Tabela1[[#This Row],[Custo do pacote de serviço]]</f>
        <v>1635.3399999999997</v>
      </c>
    </row>
    <row r="4" spans="1:14" x14ac:dyDescent="0.25">
      <c r="A4" s="2">
        <v>3</v>
      </c>
      <c r="B4" t="s">
        <v>15</v>
      </c>
      <c r="C4" s="3">
        <v>2100</v>
      </c>
      <c r="D4" s="3">
        <f>Tabela1[[#This Row],[Preço de custo]]+(Tabela1[[#This Row],[Preço de custo]]*Tabela1[[#This Row],[Impostos]])</f>
        <v>1158.3</v>
      </c>
      <c r="E4" s="3">
        <v>891</v>
      </c>
      <c r="F4" s="29">
        <v>0.3</v>
      </c>
      <c r="G4" s="3">
        <f>((Tabela1[[#This Row],[Preço Nacional]]*40%)+Tabela1[[#This Row],[Preço Nacional]])-Tabela1[[#This Row],[Preço de custo]]</f>
        <v>2049</v>
      </c>
      <c r="H4" s="3">
        <v>99.9</v>
      </c>
      <c r="I4" s="3">
        <f>(Tabela1[[#This Row],[Preço de custo]]+(Tabela1[[#This Row],[Preço de custo]]*Tabela1[[#This Row],[Impostos]])+('Dados finais professor'!J19/2)+'Dados finais professor'!J21)+(((Tabela1[[#This Row],[Preço de custo]]+(Tabela1[[#This Row],[Preço de custo]]*Tabela1[[#This Row],[Impostos]]))+'Dados finais professor'!J19+'Dados finais professor'!J21)*0.25)+8+7+Tabela1[[#This Row],[Custo do pacote de serviço]]</f>
        <v>2290.4539509478877</v>
      </c>
      <c r="J4" s="3">
        <f>Tabela1[[#This Row],[Preço por região:
SUL/SUDESTE]]-Tabela1[[#This Row],[Preço de custo com imposto]]</f>
        <v>1132.1539509478878</v>
      </c>
      <c r="K4" s="3">
        <f>(Tabela1[[#This Row],[Preço de custo]]+(Tabela1[[#This Row],[Preço de custo]]*Tabela1[[#This Row],[Impostos]])+('Dados finais professor'!K19/2)+'Dados finais professor'!J21)+(((Tabela1[[#This Row],[Preço de custo]]+(Tabela1[[#This Row],[Preço de custo]]*Tabela1[[#This Row],[Impostos]]))+'Dados finais professor'!J19+'Dados finais professor'!J21)*0.25)+8+7+Tabela1[[#This Row],[Custo do pacote de serviço]]</f>
        <v>2173.6006435819559</v>
      </c>
      <c r="L4" s="3">
        <f>Tabela1[[#This Row],[Preço por região:
NORDESTE]]-Tabela1[[#This Row],[Preço de custo com imposto]]</f>
        <v>1015.3006435819559</v>
      </c>
      <c r="M4" s="3">
        <f>Tabela1[[#This Row],[Preço Nacional]]-(Tabela1[[#This Row],[Preço Nacional]]*0.05)</f>
        <v>1995</v>
      </c>
      <c r="N4" s="3">
        <f>(Tabela1[[#This Row],[Preço por região:
NORTE/C.OESTE]]-Tabela1[[#This Row],[Impostos]])-Tabela1[[#This Row],[Preço de custo]]+Tabela1[[#This Row],[Custo do pacote de serviço]]</f>
        <v>1203.6000000000001</v>
      </c>
    </row>
    <row r="5" spans="1:14" x14ac:dyDescent="0.25">
      <c r="A5" s="2">
        <v>4</v>
      </c>
      <c r="B5" t="s">
        <v>16</v>
      </c>
      <c r="C5" s="3">
        <v>1827</v>
      </c>
      <c r="D5" s="3">
        <f>Tabela1[[#This Row],[Preço de custo]]+(Tabela1[[#This Row],[Preço de custo]]*Tabela1[[#This Row],[Impostos]])</f>
        <v>638.63799999999992</v>
      </c>
      <c r="E5" s="3">
        <v>491.26</v>
      </c>
      <c r="F5" s="29">
        <v>0.3</v>
      </c>
      <c r="G5" s="3">
        <f>((Tabela1[[#This Row],[Preço Nacional]]*40%)+Tabela1[[#This Row],[Preço Nacional]])-Tabela1[[#This Row],[Preço de custo]]</f>
        <v>2066.54</v>
      </c>
      <c r="H5" s="3">
        <v>59.9</v>
      </c>
      <c r="I5" s="3">
        <f>Tabela1[[#This Row],[Preço de custo com imposto]]+('Dados finais professor'!J19/3)+('Dados finais professor'!J21+Tabela1[[#This Row],[Preço de custo com imposto]]+(('Dados finais professor'!J19/3)+'Dados finais professor'!J21)*0.25)+8+7+Tabela1[[#This Row],[Custo do pacote de serviço]]</f>
        <v>1759.528503613024</v>
      </c>
      <c r="J5" s="3">
        <f>Tabela1[[#This Row],[Preço por região:
SUL/SUDESTE]]-Tabela1[[#This Row],[Preço de custo com imposto]]</f>
        <v>1120.8905036130241</v>
      </c>
      <c r="K5" s="3">
        <f>Tabela1[[#This Row],[Preço de custo com imposto]]+('Dados finais professor'!J19/3)+('Dados finais professor'!J21+Tabela1[[#This Row],[Preço de custo com imposto]]+(('Dados finais professor'!K19/2)+'Dados finais professor'!J21)*0.25)+8+7+Tabela1[[#This Row],[Custo do pacote de serviço]]</f>
        <v>1770.3559826883989</v>
      </c>
      <c r="L5" s="3">
        <f>Tabela1[[#This Row],[Preço por região:
NORDESTE]]-Tabela1[[#This Row],[Preço de custo com imposto]]</f>
        <v>1131.7179826883989</v>
      </c>
      <c r="M5" s="3">
        <f>Tabela1[[#This Row],[Preço Nacional]]-(Tabela1[[#This Row],[Preço Nacional]]*0.05)</f>
        <v>1735.65</v>
      </c>
      <c r="N5" s="3">
        <f>(Tabela1[[#This Row],[Preço por região:
NORTE/C.OESTE]]-Tabela1[[#This Row],[Impostos]])-Tabela1[[#This Row],[Preço de custo]]+Tabela1[[#This Row],[Custo do pacote de serviço]]</f>
        <v>1303.9900000000002</v>
      </c>
    </row>
    <row r="10" spans="1:14" x14ac:dyDescent="0.25">
      <c r="A10" s="1" t="s">
        <v>30</v>
      </c>
      <c r="B10" s="1" t="s">
        <v>31</v>
      </c>
      <c r="C10" s="1" t="s">
        <v>32</v>
      </c>
      <c r="D10" s="1"/>
      <c r="E10" s="1" t="s">
        <v>187</v>
      </c>
      <c r="F10" s="1" t="s">
        <v>188</v>
      </c>
    </row>
    <row r="11" spans="1:14" x14ac:dyDescent="0.25">
      <c r="A11" s="1">
        <v>581327</v>
      </c>
      <c r="B11" s="1" t="s">
        <v>35</v>
      </c>
      <c r="C11" s="6">
        <v>0.28799999999999998</v>
      </c>
      <c r="D11" s="6"/>
      <c r="E11" s="6">
        <v>0.14799999999999999</v>
      </c>
      <c r="F11" s="164">
        <v>0.14799999999999999</v>
      </c>
    </row>
    <row r="12" spans="1:14" x14ac:dyDescent="0.25">
      <c r="A12" s="1"/>
      <c r="B12" s="1" t="s">
        <v>36</v>
      </c>
      <c r="C12" s="6">
        <v>0.35699999999999998</v>
      </c>
      <c r="D12" s="6"/>
      <c r="E12" s="5"/>
    </row>
    <row r="13" spans="1:14" x14ac:dyDescent="0.25">
      <c r="A13" s="1"/>
      <c r="B13" s="1" t="s">
        <v>37</v>
      </c>
      <c r="C13" s="6">
        <v>0.35499999999999998</v>
      </c>
      <c r="D13" s="6"/>
      <c r="E13" s="5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EC682-8B85-487C-84C1-3EC6EDAE8146}">
  <sheetPr codeName="Planilha9"/>
  <dimension ref="A1:AB25"/>
  <sheetViews>
    <sheetView zoomScale="80" zoomScaleNormal="80" workbookViewId="0">
      <selection activeCell="F24" sqref="F24"/>
    </sheetView>
  </sheetViews>
  <sheetFormatPr defaultRowHeight="15" x14ac:dyDescent="0.25"/>
  <cols>
    <col min="1" max="1" width="14.42578125" bestFit="1" customWidth="1"/>
    <col min="2" max="3" width="14.42578125" customWidth="1"/>
    <col min="4" max="4" width="19.5703125" customWidth="1"/>
    <col min="5" max="6" width="19.85546875" customWidth="1"/>
    <col min="7" max="7" width="14.42578125" customWidth="1"/>
    <col min="8" max="9" width="18.7109375" customWidth="1"/>
    <col min="10" max="10" width="18.42578125" customWidth="1"/>
    <col min="11" max="11" width="1.7109375" customWidth="1"/>
    <col min="12" max="12" width="18.7109375" customWidth="1"/>
    <col min="13" max="13" width="17.7109375" customWidth="1"/>
    <col min="14" max="14" width="1.7109375" customWidth="1"/>
    <col min="15" max="15" width="20.7109375" customWidth="1"/>
    <col min="16" max="20" width="22.28515625" customWidth="1"/>
    <col min="21" max="21" width="19.28515625" customWidth="1"/>
    <col min="22" max="22" width="21.28515625" customWidth="1"/>
    <col min="23" max="23" width="1.7109375" customWidth="1"/>
    <col min="24" max="24" width="14.5703125" customWidth="1"/>
    <col min="25" max="25" width="17.7109375" customWidth="1"/>
    <col min="26" max="26" width="20" customWidth="1"/>
    <col min="27" max="27" width="17.7109375" customWidth="1"/>
    <col min="28" max="28" width="20.5703125" customWidth="1"/>
  </cols>
  <sheetData>
    <row r="1" spans="1:28" s="1" customFormat="1" ht="45" x14ac:dyDescent="0.25">
      <c r="A1" s="142" t="s">
        <v>38</v>
      </c>
      <c r="B1" s="143" t="s">
        <v>39</v>
      </c>
      <c r="C1" s="143" t="s">
        <v>190</v>
      </c>
      <c r="D1" s="143" t="s">
        <v>40</v>
      </c>
      <c r="E1" s="144" t="s">
        <v>41</v>
      </c>
      <c r="F1" s="144" t="s">
        <v>42</v>
      </c>
      <c r="G1" s="143" t="s">
        <v>43</v>
      </c>
      <c r="H1" s="143" t="s">
        <v>44</v>
      </c>
      <c r="I1" s="143" t="s">
        <v>45</v>
      </c>
      <c r="J1" s="145" t="s">
        <v>46</v>
      </c>
      <c r="K1" s="146"/>
      <c r="L1" s="147" t="s">
        <v>47</v>
      </c>
      <c r="M1" s="145" t="s">
        <v>48</v>
      </c>
      <c r="N1" s="146"/>
      <c r="O1" s="147" t="s">
        <v>49</v>
      </c>
      <c r="P1" s="143" t="s">
        <v>50</v>
      </c>
      <c r="Q1" s="143" t="s">
        <v>51</v>
      </c>
      <c r="R1" s="143" t="s">
        <v>52</v>
      </c>
      <c r="S1" s="143" t="s">
        <v>53</v>
      </c>
      <c r="T1" s="148" t="s">
        <v>54</v>
      </c>
      <c r="U1" s="143" t="s">
        <v>55</v>
      </c>
      <c r="V1" s="145" t="s">
        <v>189</v>
      </c>
      <c r="W1" s="146"/>
      <c r="X1" s="147" t="s">
        <v>56</v>
      </c>
      <c r="Y1" s="143" t="s">
        <v>57</v>
      </c>
      <c r="Z1" s="143" t="s">
        <v>52</v>
      </c>
      <c r="AA1" s="143" t="s">
        <v>58</v>
      </c>
      <c r="AB1" s="145" t="s">
        <v>59</v>
      </c>
    </row>
    <row r="2" spans="1:28" s="1" customFormat="1" x14ac:dyDescent="0.25">
      <c r="A2" s="149" t="s">
        <v>60</v>
      </c>
      <c r="B2" s="150">
        <v>245116.52955000001</v>
      </c>
      <c r="C2" s="150">
        <f>B2*dados!$E$11</f>
        <v>36277.246373399998</v>
      </c>
      <c r="D2" s="151">
        <f>C2*dados!$D$2</f>
        <v>312852941.19840467</v>
      </c>
      <c r="E2" s="152">
        <f>C2*dados!$I$2</f>
        <v>391229307.55936289</v>
      </c>
      <c r="F2" s="152">
        <f>E2-(D2+J2+M2+T2+V2+AB2)</f>
        <v>40575530.193734944</v>
      </c>
      <c r="G2" s="153">
        <v>50</v>
      </c>
      <c r="H2" s="150">
        <f>C2/5000</f>
        <v>7.2554492746799992</v>
      </c>
      <c r="I2" s="150">
        <v>1</v>
      </c>
      <c r="J2" s="154">
        <f>(15000*1)+(80000*1)+(68500*1)+1050000+36540</f>
        <v>1250040</v>
      </c>
      <c r="K2" s="155"/>
      <c r="L2" s="156">
        <v>2</v>
      </c>
      <c r="M2" s="154">
        <f>(16000*L2)+(90000*L2)+(78500*L2)</f>
        <v>369000</v>
      </c>
      <c r="N2" s="155"/>
      <c r="O2" s="156">
        <v>36277.246373399998</v>
      </c>
      <c r="P2" s="184">
        <f>O2/1307</f>
        <v>27.756118112777351</v>
      </c>
      <c r="Q2" s="184">
        <v>27.756118112777351</v>
      </c>
      <c r="R2" s="157">
        <f>((P2*100)/Q2)/100</f>
        <v>0.99999999999999989</v>
      </c>
      <c r="S2" s="183" t="str">
        <f>IF(R2&lt;0.5,"5 - Excelente",IF(AND(R2&gt;=0.5001,R2&lt;=0.6),"4 - Bom",IF(AND(R2&gt;0.6001,R2&lt;=0.75),"3 - Regular",IF(AND(R2&gt;0.7501,R2&lt;=0.85),"2 - Ruim",IF(R2&gt;0.8501,"1 - Péssimo")))))</f>
        <v>1 - Péssimo</v>
      </c>
      <c r="T2" s="155">
        <f>(Q2*1256000)</f>
        <v>34861684.349648349</v>
      </c>
      <c r="U2" s="182">
        <f t="shared" ref="U2:U13" si="0">Q2/5</f>
        <v>5.5512236225554705</v>
      </c>
      <c r="V2" s="154">
        <f>U2*19000+U2*100000+U2*82500</f>
        <v>1118571.5599449272</v>
      </c>
      <c r="W2" s="153"/>
      <c r="X2" s="156">
        <f>O2/27000</f>
        <v>1.3436017175333332</v>
      </c>
      <c r="Y2" s="153">
        <v>1.3436017175333332</v>
      </c>
      <c r="Z2" s="157">
        <f>((X2*100)/Y2)/100</f>
        <v>1</v>
      </c>
      <c r="AA2" s="153" t="str">
        <f>IF(Z2&lt;0.5,"5 - Excelente",IF(AND(Z2&gt;=0.5001,Z2&lt;=0.6),"4 - Bom",IF(AND(Z2&gt;0.6001,Z2&lt;=0.75),"3 - Regular",IF(AND(Z2&gt;0.7501,Z2&lt;=0.85),"2 - Ruim",IF(Z2&gt;0.8501,"1 - Péssimo")))))</f>
        <v>1 - Péssimo</v>
      </c>
      <c r="AB2" s="154">
        <f>150000*Y2</f>
        <v>201540.25762999998</v>
      </c>
    </row>
    <row r="3" spans="1:28" s="1" customFormat="1" x14ac:dyDescent="0.25">
      <c r="A3" s="149" t="s">
        <v>61</v>
      </c>
      <c r="B3" s="150">
        <v>210847.30290000001</v>
      </c>
      <c r="C3" s="150">
        <f>B3*dados!$E$11</f>
        <v>31205.4008292</v>
      </c>
      <c r="D3" s="151">
        <f>C3*dados!$D$2</f>
        <v>269113629.24857438</v>
      </c>
      <c r="E3" s="152">
        <f>C3*dados!$I$2</f>
        <v>336532360.61136234</v>
      </c>
      <c r="F3" s="152">
        <f t="shared" ref="F3:F13" si="1">E3-(D3+J3+M3+T3+V3+AB3)</f>
        <v>35373879.840627968</v>
      </c>
      <c r="G3" s="153">
        <v>50</v>
      </c>
      <c r="H3" s="150">
        <f t="shared" ref="H3:H13" si="2">C3/5000</f>
        <v>6.2410801658399997</v>
      </c>
      <c r="I3" s="150">
        <v>1</v>
      </c>
      <c r="J3" s="154">
        <f>(68500*I3)+36540</f>
        <v>105040</v>
      </c>
      <c r="K3" s="155"/>
      <c r="L3" s="156">
        <v>2</v>
      </c>
      <c r="M3" s="154">
        <f>78500*L3</f>
        <v>157000</v>
      </c>
      <c r="N3" s="155"/>
      <c r="O3" s="156">
        <v>31205.4008292</v>
      </c>
      <c r="P3" s="184">
        <f t="shared" ref="P3:P13" si="3">O3/1307+P2</f>
        <v>51.631711708186685</v>
      </c>
      <c r="Q3" s="184">
        <v>51.631711708186685</v>
      </c>
      <c r="R3" s="157">
        <f t="shared" ref="R3:R13" si="4">((P3*100)/Q3)/100</f>
        <v>1</v>
      </c>
      <c r="S3" s="183" t="str">
        <f t="shared" ref="S3:S12" si="5">IF(R3&lt;0.5,"5 - Excelente",IF(AND(R3&gt;=0.5001,R3&lt;=0.6),"4 - Bom",IF(AND(R3&gt;0.6001,R3&lt;=0.75),"3 - Regular",IF(AND(R3&gt;0.7501,R3&lt;=0.85),"2 - Ruim",IF(R3&gt;0.8501,"1 - Péssimo")))))</f>
        <v>1 - Péssimo</v>
      </c>
      <c r="T3" s="155">
        <f>((Q3-Q2)*1256000)</f>
        <v>29987745.555834126</v>
      </c>
      <c r="U3" s="182">
        <f>(Q3/5)</f>
        <v>10.326342341637337</v>
      </c>
      <c r="V3" s="154">
        <f>(U3-U2)*19000+(U3-U2)*100000+U3*82500</f>
        <v>1420162.3707558224</v>
      </c>
      <c r="W3" s="153"/>
      <c r="X3" s="156">
        <f t="shared" ref="X3:X13" si="6">O3/27000+X2</f>
        <v>2.4993573038000001</v>
      </c>
      <c r="Y3" s="153">
        <v>2.4993573038000001</v>
      </c>
      <c r="Z3" s="157">
        <f>((X3*100)/Y3)/100</f>
        <v>1</v>
      </c>
      <c r="AA3" s="153" t="str">
        <f t="shared" ref="AA3:AA13" si="7">IF(Z3&lt;0.5,"5 - Excelente",IF(AND(Z3&gt;=0.5001,Z3&lt;=0.6),"4 - Bom",IF(AND(Z3&gt;0.6001,Z3&lt;=0.75),"3 - Regular",IF(AND(Z3&gt;0.7501,Z3&lt;=0.85),"2 - Ruim",IF(Z3&gt;0.8501,"1 - Péssimo")))))</f>
        <v>1 - Péssimo</v>
      </c>
      <c r="AB3" s="154">
        <f t="shared" ref="AB3:AB13" si="8">150000*Y3</f>
        <v>374903.59557</v>
      </c>
    </row>
    <row r="4" spans="1:28" s="1" customFormat="1" x14ac:dyDescent="0.25">
      <c r="A4" s="149" t="s">
        <v>62</v>
      </c>
      <c r="B4" s="150">
        <v>223927.16040000002</v>
      </c>
      <c r="C4" s="150">
        <f>B4*dados!$E$11</f>
        <v>33141.219739200002</v>
      </c>
      <c r="D4" s="151">
        <f>C4*dados!$D$2</f>
        <v>285808023.12255538</v>
      </c>
      <c r="E4" s="152">
        <f>C4*dados!$I$2</f>
        <v>357409057.91975957</v>
      </c>
      <c r="F4" s="152">
        <f t="shared" si="1"/>
        <v>37058147.126919627</v>
      </c>
      <c r="G4" s="153">
        <v>50</v>
      </c>
      <c r="H4" s="150">
        <f t="shared" si="2"/>
        <v>6.6282439478400006</v>
      </c>
      <c r="I4" s="150">
        <v>1</v>
      </c>
      <c r="J4" s="154">
        <f t="shared" ref="J4:J13" si="9">(68500*I4)+36540</f>
        <v>105040</v>
      </c>
      <c r="K4" s="155"/>
      <c r="L4" s="156">
        <v>2</v>
      </c>
      <c r="M4" s="154">
        <f t="shared" ref="M4:M12" si="10">78500*L4</f>
        <v>157000</v>
      </c>
      <c r="N4" s="155"/>
      <c r="O4" s="156">
        <v>33141.219739200002</v>
      </c>
      <c r="P4" s="184">
        <f t="shared" si="3"/>
        <v>76.988421531599073</v>
      </c>
      <c r="Q4" s="184">
        <v>76.988421531599073</v>
      </c>
      <c r="R4" s="157">
        <f t="shared" si="4"/>
        <v>1</v>
      </c>
      <c r="S4" s="183" t="str">
        <f t="shared" si="5"/>
        <v>1 - Péssimo</v>
      </c>
      <c r="T4" s="155">
        <f t="shared" ref="T4:T13" si="11">((Q4-Q3)*1256000)</f>
        <v>31848027.538205959</v>
      </c>
      <c r="U4" s="182">
        <f t="shared" si="0"/>
        <v>15.397684306319814</v>
      </c>
      <c r="V4" s="154">
        <f>(U4-U3)*19000+(U4-U3)*100000+U4*82500</f>
        <v>1873798.6490685993</v>
      </c>
      <c r="W4" s="153"/>
      <c r="X4" s="156">
        <f t="shared" si="6"/>
        <v>3.7268098867333332</v>
      </c>
      <c r="Y4" s="153">
        <v>3.7268098867333332</v>
      </c>
      <c r="Z4" s="157">
        <f t="shared" ref="Z4:Z13" si="12">((X4*100)/Y4)/100</f>
        <v>1</v>
      </c>
      <c r="AA4" s="153" t="str">
        <f t="shared" si="7"/>
        <v>1 - Péssimo</v>
      </c>
      <c r="AB4" s="154">
        <f t="shared" si="8"/>
        <v>559021.48300999997</v>
      </c>
    </row>
    <row r="5" spans="1:28" s="1" customFormat="1" x14ac:dyDescent="0.25">
      <c r="A5" s="149" t="s">
        <v>63</v>
      </c>
      <c r="B5" s="150">
        <v>210847.30290000001</v>
      </c>
      <c r="C5" s="150">
        <f>B5*dados!$E$11</f>
        <v>31205.4008292</v>
      </c>
      <c r="D5" s="151">
        <f>C5*dados!$D$2</f>
        <v>269113629.24857438</v>
      </c>
      <c r="E5" s="152">
        <f>C5*dados!$I$2</f>
        <v>336532360.61136234</v>
      </c>
      <c r="F5" s="152">
        <f t="shared" si="1"/>
        <v>34204065.608837485</v>
      </c>
      <c r="G5" s="153">
        <v>50</v>
      </c>
      <c r="H5" s="150">
        <f t="shared" si="2"/>
        <v>6.2410801658399997</v>
      </c>
      <c r="I5" s="150">
        <v>1</v>
      </c>
      <c r="J5" s="154">
        <f t="shared" si="9"/>
        <v>105040</v>
      </c>
      <c r="K5" s="155"/>
      <c r="L5" s="156">
        <v>2</v>
      </c>
      <c r="M5" s="154">
        <f t="shared" si="10"/>
        <v>157000</v>
      </c>
      <c r="N5" s="155"/>
      <c r="O5" s="156">
        <v>31205.4008292</v>
      </c>
      <c r="P5" s="184">
        <f t="shared" si="3"/>
        <v>100.8640151270084</v>
      </c>
      <c r="Q5" s="184">
        <v>100.8640151270084</v>
      </c>
      <c r="R5" s="157">
        <f t="shared" si="4"/>
        <v>1</v>
      </c>
      <c r="S5" s="183" t="str">
        <f t="shared" si="5"/>
        <v>1 - Péssimo</v>
      </c>
      <c r="T5" s="155">
        <f t="shared" si="11"/>
        <v>29987745.555834115</v>
      </c>
      <c r="U5" s="182">
        <f t="shared" si="0"/>
        <v>20.172803025401681</v>
      </c>
      <c r="V5" s="154">
        <f t="shared" ref="V5:V13" si="13">(U5-U4)*19000+(U5-U4)*100000+U5*82500</f>
        <v>2232495.3771663806</v>
      </c>
      <c r="W5" s="153"/>
      <c r="X5" s="156">
        <f t="shared" si="6"/>
        <v>4.8825654729999997</v>
      </c>
      <c r="Y5" s="153">
        <v>4.8825654729999997</v>
      </c>
      <c r="Z5" s="157">
        <f t="shared" si="12"/>
        <v>1</v>
      </c>
      <c r="AA5" s="153" t="str">
        <f t="shared" si="7"/>
        <v>1 - Péssimo</v>
      </c>
      <c r="AB5" s="154">
        <f t="shared" si="8"/>
        <v>732384.82094999996</v>
      </c>
    </row>
    <row r="6" spans="1:28" s="1" customFormat="1" x14ac:dyDescent="0.25">
      <c r="A6" s="149" t="s">
        <v>64</v>
      </c>
      <c r="B6" s="150">
        <v>237007.01790000001</v>
      </c>
      <c r="C6" s="150">
        <f>B6*dados!$E$11</f>
        <v>35077.038649199996</v>
      </c>
      <c r="D6" s="151">
        <f>C6*dados!$D$2</f>
        <v>302502416.99653637</v>
      </c>
      <c r="E6" s="152">
        <f>C6*dados!$I$2</f>
        <v>378285755.22815663</v>
      </c>
      <c r="F6" s="152">
        <f t="shared" si="1"/>
        <v>38139910.813684821</v>
      </c>
      <c r="G6" s="153">
        <v>50</v>
      </c>
      <c r="H6" s="150">
        <f t="shared" si="2"/>
        <v>7.0154077298399988</v>
      </c>
      <c r="I6" s="150">
        <v>1</v>
      </c>
      <c r="J6" s="154">
        <f t="shared" si="9"/>
        <v>105040</v>
      </c>
      <c r="K6" s="155"/>
      <c r="L6" s="156">
        <v>2</v>
      </c>
      <c r="M6" s="154">
        <f t="shared" si="10"/>
        <v>157000</v>
      </c>
      <c r="N6" s="155"/>
      <c r="O6" s="156">
        <v>35077.038649199996</v>
      </c>
      <c r="P6" s="184">
        <f t="shared" si="3"/>
        <v>127.70184117842385</v>
      </c>
      <c r="Q6" s="184">
        <v>127.70184117842385</v>
      </c>
      <c r="R6" s="157">
        <f t="shared" si="4"/>
        <v>1</v>
      </c>
      <c r="S6" s="183" t="str">
        <f t="shared" si="5"/>
        <v>1 - Péssimo</v>
      </c>
      <c r="T6" s="155">
        <f t="shared" si="11"/>
        <v>33708309.520577803</v>
      </c>
      <c r="U6" s="182">
        <f t="shared" si="0"/>
        <v>25.54036823568477</v>
      </c>
      <c r="V6" s="154">
        <f t="shared" si="13"/>
        <v>2745820.6394676808</v>
      </c>
      <c r="W6" s="153"/>
      <c r="X6" s="156">
        <f t="shared" si="6"/>
        <v>6.1817150525999995</v>
      </c>
      <c r="Y6" s="153">
        <v>6.1817150525999995</v>
      </c>
      <c r="Z6" s="157">
        <f t="shared" si="12"/>
        <v>1.0000000000000002</v>
      </c>
      <c r="AA6" s="153" t="str">
        <f t="shared" si="7"/>
        <v>1 - Péssimo</v>
      </c>
      <c r="AB6" s="154">
        <f t="shared" si="8"/>
        <v>927257.25788999989</v>
      </c>
    </row>
    <row r="7" spans="1:28" s="1" customFormat="1" x14ac:dyDescent="0.25">
      <c r="A7" s="149" t="s">
        <v>65</v>
      </c>
      <c r="B7" s="150">
        <v>221311.18890000001</v>
      </c>
      <c r="C7" s="150">
        <f>B7*dados!$E$11</f>
        <v>32754.055957199998</v>
      </c>
      <c r="D7" s="151">
        <f>C7*dados!$D$2</f>
        <v>282469144.34775919</v>
      </c>
      <c r="E7" s="152">
        <f>C7*dados!$I$2</f>
        <v>353233718.45808005</v>
      </c>
      <c r="F7" s="152">
        <f t="shared" si="1"/>
        <v>34800320.744629443</v>
      </c>
      <c r="G7" s="153">
        <v>50</v>
      </c>
      <c r="H7" s="150">
        <f t="shared" si="2"/>
        <v>6.5508111914399993</v>
      </c>
      <c r="I7" s="150">
        <v>1</v>
      </c>
      <c r="J7" s="154">
        <f t="shared" si="9"/>
        <v>105040</v>
      </c>
      <c r="K7" s="155"/>
      <c r="L7" s="156">
        <v>2</v>
      </c>
      <c r="M7" s="154">
        <f t="shared" si="10"/>
        <v>157000</v>
      </c>
      <c r="N7" s="155"/>
      <c r="O7" s="156">
        <v>32754.055957199998</v>
      </c>
      <c r="P7" s="184">
        <f t="shared" si="3"/>
        <v>152.76232775623563</v>
      </c>
      <c r="Q7" s="184">
        <v>152.76232775623563</v>
      </c>
      <c r="R7" s="157">
        <f t="shared" si="4"/>
        <v>1</v>
      </c>
      <c r="S7" s="183" t="str">
        <f t="shared" si="5"/>
        <v>1 - Péssimo</v>
      </c>
      <c r="T7" s="155">
        <f t="shared" si="11"/>
        <v>31475971.141731605</v>
      </c>
      <c r="U7" s="182">
        <f t="shared" si="0"/>
        <v>30.552465551247128</v>
      </c>
      <c r="V7" s="154">
        <f t="shared" si="13"/>
        <v>3117017.9885298084</v>
      </c>
      <c r="W7" s="153"/>
      <c r="X7" s="156">
        <f t="shared" si="6"/>
        <v>7.3948282361999995</v>
      </c>
      <c r="Y7" s="153">
        <v>7.3948282361999995</v>
      </c>
      <c r="Z7" s="157">
        <f t="shared" si="12"/>
        <v>1</v>
      </c>
      <c r="AA7" s="153" t="str">
        <f t="shared" si="7"/>
        <v>1 - Péssimo</v>
      </c>
      <c r="AB7" s="154">
        <f t="shared" si="8"/>
        <v>1109224.2354299999</v>
      </c>
    </row>
    <row r="8" spans="1:28" s="1" customFormat="1" x14ac:dyDescent="0.25">
      <c r="A8" s="149" t="s">
        <v>66</v>
      </c>
      <c r="B8" s="150">
        <v>210847.30290000001</v>
      </c>
      <c r="C8" s="150">
        <f>B8*dados!$E$11</f>
        <v>31205.4008292</v>
      </c>
      <c r="D8" s="151">
        <f>C8*dados!$D$2</f>
        <v>269113629.24857438</v>
      </c>
      <c r="E8" s="152">
        <f>C8*dados!$I$2</f>
        <v>336532360.61136234</v>
      </c>
      <c r="F8" s="152">
        <f t="shared" si="1"/>
        <v>32403593.403710961</v>
      </c>
      <c r="G8" s="153">
        <v>50</v>
      </c>
      <c r="H8" s="150">
        <f t="shared" si="2"/>
        <v>6.2410801658399997</v>
      </c>
      <c r="I8" s="150">
        <v>1</v>
      </c>
      <c r="J8" s="154">
        <f t="shared" si="9"/>
        <v>105040</v>
      </c>
      <c r="K8" s="155"/>
      <c r="L8" s="156">
        <v>2</v>
      </c>
      <c r="M8" s="154">
        <f t="shared" si="10"/>
        <v>157000</v>
      </c>
      <c r="N8" s="155"/>
      <c r="O8" s="156">
        <v>31205.4008292</v>
      </c>
      <c r="P8" s="184">
        <f t="shared" si="3"/>
        <v>176.63792135164496</v>
      </c>
      <c r="Q8" s="184">
        <v>176.63792135164496</v>
      </c>
      <c r="R8" s="157">
        <f t="shared" si="4"/>
        <v>0.99999999999999989</v>
      </c>
      <c r="S8" s="183" t="str">
        <f t="shared" si="5"/>
        <v>1 - Péssimo</v>
      </c>
      <c r="T8" s="155">
        <f t="shared" si="11"/>
        <v>29987745.555834115</v>
      </c>
      <c r="U8" s="182">
        <f t="shared" si="0"/>
        <v>35.327584270328991</v>
      </c>
      <c r="V8" s="154">
        <f t="shared" si="13"/>
        <v>3482764.8298728834</v>
      </c>
      <c r="W8" s="153"/>
      <c r="X8" s="156">
        <f t="shared" si="6"/>
        <v>8.5505838224666668</v>
      </c>
      <c r="Y8" s="153">
        <v>8.5505838224666668</v>
      </c>
      <c r="Z8" s="157">
        <f t="shared" si="12"/>
        <v>1</v>
      </c>
      <c r="AA8" s="153" t="str">
        <f t="shared" si="7"/>
        <v>1 - Péssimo</v>
      </c>
      <c r="AB8" s="154">
        <f t="shared" si="8"/>
        <v>1282587.5733700001</v>
      </c>
    </row>
    <row r="9" spans="1:28" s="1" customFormat="1" x14ac:dyDescent="0.25">
      <c r="A9" s="149" t="s">
        <v>67</v>
      </c>
      <c r="B9" s="150">
        <v>210847.30290000001</v>
      </c>
      <c r="C9" s="150">
        <f>B9*dados!$E$11</f>
        <v>31205.4008292</v>
      </c>
      <c r="D9" s="151">
        <f>C9*dados!$D$2</f>
        <v>269113629.24857438</v>
      </c>
      <c r="E9" s="152">
        <f>C9*dados!$I$2</f>
        <v>336532360.61136234</v>
      </c>
      <c r="F9" s="152">
        <f t="shared" si="1"/>
        <v>31836282.771446705</v>
      </c>
      <c r="G9" s="153">
        <v>50</v>
      </c>
      <c r="H9" s="150">
        <f t="shared" si="2"/>
        <v>6.2410801658399997</v>
      </c>
      <c r="I9" s="150">
        <v>1</v>
      </c>
      <c r="J9" s="154">
        <f t="shared" si="9"/>
        <v>105040</v>
      </c>
      <c r="K9" s="155"/>
      <c r="L9" s="156">
        <v>2</v>
      </c>
      <c r="M9" s="154">
        <f t="shared" si="10"/>
        <v>157000</v>
      </c>
      <c r="N9" s="155"/>
      <c r="O9" s="156">
        <v>31205.4008292</v>
      </c>
      <c r="P9" s="184">
        <f t="shared" si="3"/>
        <v>200.51351494705429</v>
      </c>
      <c r="Q9" s="184">
        <v>200.51351494705429</v>
      </c>
      <c r="R9" s="157">
        <f t="shared" si="4"/>
        <v>1</v>
      </c>
      <c r="S9" s="183" t="str">
        <f t="shared" si="5"/>
        <v>1 - Péssimo</v>
      </c>
      <c r="T9" s="155">
        <f t="shared" si="11"/>
        <v>29987745.555834115</v>
      </c>
      <c r="U9" s="182">
        <f t="shared" si="0"/>
        <v>40.102702989410858</v>
      </c>
      <c r="V9" s="154">
        <f t="shared" si="13"/>
        <v>3876712.124197138</v>
      </c>
      <c r="W9" s="153"/>
      <c r="X9" s="156">
        <f t="shared" si="6"/>
        <v>9.7063394087333332</v>
      </c>
      <c r="Y9" s="153">
        <v>9.7063394087333332</v>
      </c>
      <c r="Z9" s="157">
        <f>((X9*100)/Y9)/100</f>
        <v>1</v>
      </c>
      <c r="AA9" s="153" t="str">
        <f t="shared" si="7"/>
        <v>1 - Péssimo</v>
      </c>
      <c r="AB9" s="154">
        <f t="shared" si="8"/>
        <v>1455950.9113099999</v>
      </c>
    </row>
    <row r="10" spans="1:28" s="1" customFormat="1" x14ac:dyDescent="0.25">
      <c r="A10" s="149" t="s">
        <v>68</v>
      </c>
      <c r="B10" s="150">
        <v>194889.87675</v>
      </c>
      <c r="C10" s="150">
        <f>B10*dados!$E$11</f>
        <v>28843.701759</v>
      </c>
      <c r="D10" s="151">
        <f>C10*dados!$D$2</f>
        <v>248746468.72231749</v>
      </c>
      <c r="E10" s="152">
        <f>C10*dados!$I$2</f>
        <v>311062789.89511782</v>
      </c>
      <c r="F10" s="152">
        <f t="shared" si="1"/>
        <v>28522047.078544438</v>
      </c>
      <c r="G10" s="153">
        <v>50</v>
      </c>
      <c r="H10" s="150">
        <f t="shared" si="2"/>
        <v>5.7687403518</v>
      </c>
      <c r="I10" s="150">
        <v>1</v>
      </c>
      <c r="J10" s="154">
        <f t="shared" si="9"/>
        <v>105040</v>
      </c>
      <c r="K10" s="155"/>
      <c r="L10" s="156">
        <v>2</v>
      </c>
      <c r="M10" s="154">
        <f t="shared" si="10"/>
        <v>157000</v>
      </c>
      <c r="N10" s="155"/>
      <c r="O10" s="156">
        <v>28843.701759</v>
      </c>
      <c r="P10" s="184">
        <f t="shared" si="3"/>
        <v>222.58214674429991</v>
      </c>
      <c r="Q10" s="184">
        <v>222.58214674429991</v>
      </c>
      <c r="R10" s="157">
        <f t="shared" si="4"/>
        <v>1</v>
      </c>
      <c r="S10" s="183" t="str">
        <f t="shared" si="5"/>
        <v>1 - Péssimo</v>
      </c>
      <c r="T10" s="155">
        <f t="shared" si="11"/>
        <v>27718201.537340492</v>
      </c>
      <c r="U10" s="182">
        <f t="shared" si="0"/>
        <v>44.51642934885998</v>
      </c>
      <c r="V10" s="154">
        <f t="shared" si="13"/>
        <v>4197838.8580553941</v>
      </c>
      <c r="W10" s="153"/>
      <c r="X10" s="156">
        <f t="shared" si="6"/>
        <v>10.774624659066667</v>
      </c>
      <c r="Y10" s="153">
        <v>10.774624659066667</v>
      </c>
      <c r="Z10" s="157">
        <f t="shared" si="12"/>
        <v>1</v>
      </c>
      <c r="AA10" s="153" t="str">
        <f t="shared" si="7"/>
        <v>1 - Péssimo</v>
      </c>
      <c r="AB10" s="154">
        <f t="shared" si="8"/>
        <v>1616193.6988600001</v>
      </c>
    </row>
    <row r="11" spans="1:28" s="1" customFormat="1" x14ac:dyDescent="0.25">
      <c r="A11" s="149" t="s">
        <v>69</v>
      </c>
      <c r="B11" s="150">
        <v>158004.67859999998</v>
      </c>
      <c r="C11" s="150">
        <f>B11*dados!$E$11</f>
        <v>23384.692432799995</v>
      </c>
      <c r="D11" s="151">
        <f>C11*dados!$D$2</f>
        <v>201668277.99769092</v>
      </c>
      <c r="E11" s="152">
        <f>C11*dados!$I$2</f>
        <v>252190503.48543775</v>
      </c>
      <c r="F11" s="152">
        <f t="shared" si="1"/>
        <v>21648222.136012673</v>
      </c>
      <c r="G11" s="153">
        <v>50</v>
      </c>
      <c r="H11" s="150">
        <f t="shared" si="2"/>
        <v>4.6769384865599992</v>
      </c>
      <c r="I11" s="150">
        <v>1</v>
      </c>
      <c r="J11" s="154">
        <f t="shared" si="9"/>
        <v>105040</v>
      </c>
      <c r="K11" s="155"/>
      <c r="L11" s="156">
        <v>2</v>
      </c>
      <c r="M11" s="154">
        <f t="shared" si="10"/>
        <v>157000</v>
      </c>
      <c r="N11" s="155"/>
      <c r="O11" s="156">
        <v>23384.692432799995</v>
      </c>
      <c r="P11" s="184">
        <f t="shared" si="3"/>
        <v>240.47403077857686</v>
      </c>
      <c r="Q11" s="184">
        <v>240.47403077857686</v>
      </c>
      <c r="R11" s="157">
        <f t="shared" si="4"/>
        <v>1</v>
      </c>
      <c r="S11" s="183" t="str">
        <f t="shared" si="5"/>
        <v>1 - Péssimo</v>
      </c>
      <c r="T11" s="155">
        <f t="shared" si="11"/>
        <v>22472206.347051855</v>
      </c>
      <c r="U11" s="182">
        <f t="shared" si="0"/>
        <v>48.094806155715375</v>
      </c>
      <c r="V11" s="154">
        <f t="shared" si="13"/>
        <v>4393648.3478623107</v>
      </c>
      <c r="W11" s="153"/>
      <c r="X11" s="156">
        <f t="shared" si="6"/>
        <v>11.6407243788</v>
      </c>
      <c r="Y11" s="153">
        <v>11.6407243788</v>
      </c>
      <c r="Z11" s="157">
        <f t="shared" si="12"/>
        <v>1</v>
      </c>
      <c r="AA11" s="153" t="str">
        <f t="shared" si="7"/>
        <v>1 - Péssimo</v>
      </c>
      <c r="AB11" s="154">
        <f t="shared" si="8"/>
        <v>1746108.6568199999</v>
      </c>
    </row>
    <row r="12" spans="1:28" s="1" customFormat="1" x14ac:dyDescent="0.25">
      <c r="A12" s="149" t="s">
        <v>70</v>
      </c>
      <c r="B12" s="150">
        <v>276508.18754999997</v>
      </c>
      <c r="C12" s="150">
        <f>B12*dados!$E$11</f>
        <v>40923.211757399993</v>
      </c>
      <c r="D12" s="151">
        <f>C12*dados!$D$2</f>
        <v>352919486.4959591</v>
      </c>
      <c r="E12" s="152">
        <f>C12*dados!$I$2</f>
        <v>441333381.09951609</v>
      </c>
      <c r="F12" s="152">
        <f t="shared" si="1"/>
        <v>41622387.033602297</v>
      </c>
      <c r="G12" s="153">
        <v>75</v>
      </c>
      <c r="H12" s="150">
        <f t="shared" si="2"/>
        <v>8.1846423514799991</v>
      </c>
      <c r="I12" s="150">
        <v>1</v>
      </c>
      <c r="J12" s="154">
        <f t="shared" si="9"/>
        <v>105040</v>
      </c>
      <c r="K12" s="155"/>
      <c r="L12" s="156">
        <v>2</v>
      </c>
      <c r="M12" s="154">
        <f t="shared" si="10"/>
        <v>157000</v>
      </c>
      <c r="N12" s="155"/>
      <c r="O12" s="156">
        <v>40923.211757399993</v>
      </c>
      <c r="P12" s="184">
        <f t="shared" si="3"/>
        <v>271.78482783856157</v>
      </c>
      <c r="Q12" s="184">
        <v>271.78482783856157</v>
      </c>
      <c r="R12" s="157">
        <f t="shared" si="4"/>
        <v>1</v>
      </c>
      <c r="S12" s="183" t="str">
        <f t="shared" si="5"/>
        <v>1 - Péssimo</v>
      </c>
      <c r="T12" s="155">
        <f>((Q12-Q11)*1256000)</f>
        <v>39326361.10734079</v>
      </c>
      <c r="U12" s="182">
        <f t="shared" si="0"/>
        <v>54.356965567712315</v>
      </c>
      <c r="V12" s="154">
        <f t="shared" si="13"/>
        <v>5229646.6293639019</v>
      </c>
      <c r="W12" s="153"/>
      <c r="X12" s="156">
        <f t="shared" si="6"/>
        <v>13.156398888333333</v>
      </c>
      <c r="Y12" s="153">
        <v>13.156398888333333</v>
      </c>
      <c r="Z12" s="157">
        <f t="shared" si="12"/>
        <v>1</v>
      </c>
      <c r="AA12" s="153" t="str">
        <f t="shared" si="7"/>
        <v>1 - Péssimo</v>
      </c>
      <c r="AB12" s="154">
        <f t="shared" si="8"/>
        <v>1973459.8332499999</v>
      </c>
    </row>
    <row r="13" spans="1:28" s="1" customFormat="1" x14ac:dyDescent="0.25">
      <c r="A13" s="149" t="s">
        <v>71</v>
      </c>
      <c r="B13" s="150">
        <v>216079.24589999998</v>
      </c>
      <c r="C13" s="150">
        <f>B13*dados!$E$11</f>
        <v>31979.728393199995</v>
      </c>
      <c r="D13" s="151">
        <f>C13*dados!$D$2</f>
        <v>275791386.79816675</v>
      </c>
      <c r="E13" s="152">
        <f>C13*dados!$I$2</f>
        <v>344883039.5347212</v>
      </c>
      <c r="F13" s="152">
        <f t="shared" si="1"/>
        <v>30476117.721954942</v>
      </c>
      <c r="G13" s="153">
        <v>75</v>
      </c>
      <c r="H13" s="150">
        <f t="shared" si="2"/>
        <v>6.3959456786399995</v>
      </c>
      <c r="I13" s="150">
        <v>1</v>
      </c>
      <c r="J13" s="154">
        <f t="shared" si="9"/>
        <v>105040</v>
      </c>
      <c r="K13" s="155"/>
      <c r="L13" s="156">
        <v>2</v>
      </c>
      <c r="M13" s="154">
        <f>78500*2</f>
        <v>157000</v>
      </c>
      <c r="N13" s="155"/>
      <c r="O13" s="156">
        <v>31979.728393199995</v>
      </c>
      <c r="P13" s="184">
        <f t="shared" si="3"/>
        <v>296.2528679251721</v>
      </c>
      <c r="Q13" s="184">
        <v>296.2528679251721</v>
      </c>
      <c r="R13" s="157">
        <f t="shared" si="4"/>
        <v>1</v>
      </c>
      <c r="S13" s="183" t="str">
        <f>IF(R13&lt;0.5,"5 - Excelente",IF(AND(R13&gt;=0.5001,R13&lt;=0.6),"4 - Bom",IF(AND(R13&gt;0.6001,R13&lt;=0.75),"3 - Regular",IF(AND(R13&gt;0.7501,R13&lt;=0.85),"2 - Ruim",IF(R13&gt;0.8501,"1 - Péssimo")))))</f>
        <v>1 - Péssimo</v>
      </c>
      <c r="T13" s="155">
        <f>((Q13-Q12)*1256000)</f>
        <v>30731858.348782822</v>
      </c>
      <c r="U13" s="182">
        <f>Q13/5</f>
        <v>59.250573585034417</v>
      </c>
      <c r="V13" s="154">
        <f t="shared" si="13"/>
        <v>5470511.6748266695</v>
      </c>
      <c r="W13" s="153"/>
      <c r="X13" s="156">
        <f t="shared" si="6"/>
        <v>14.340833273266666</v>
      </c>
      <c r="Y13" s="153">
        <v>14.340833273266666</v>
      </c>
      <c r="Z13" s="157">
        <f t="shared" si="12"/>
        <v>1</v>
      </c>
      <c r="AA13" s="153" t="str">
        <f t="shared" si="7"/>
        <v>1 - Péssimo</v>
      </c>
      <c r="AB13" s="154">
        <f t="shared" si="8"/>
        <v>2151124.9909899998</v>
      </c>
    </row>
    <row r="14" spans="1:28" s="1" customFormat="1" ht="15.75" thickBot="1" x14ac:dyDescent="0.3">
      <c r="A14" s="158"/>
      <c r="B14" s="159" t="s">
        <v>72</v>
      </c>
      <c r="C14" s="159"/>
      <c r="D14" s="160">
        <f>SUM(D2:D13)</f>
        <v>3339212662.6736875</v>
      </c>
      <c r="E14" s="160">
        <f>SUM(E2:E13)</f>
        <v>4175756995.6256013</v>
      </c>
      <c r="F14" s="160">
        <f>SUM(F2:F13)</f>
        <v>406660504.47370631</v>
      </c>
      <c r="G14" s="159"/>
      <c r="H14" s="159"/>
      <c r="I14" s="159" t="s">
        <v>73</v>
      </c>
      <c r="J14" s="161">
        <f>SUM(J2:J13)</f>
        <v>2405480</v>
      </c>
      <c r="K14" s="162"/>
      <c r="L14" s="158" t="s">
        <v>73</v>
      </c>
      <c r="M14" s="161">
        <f>SUM(M2:M13)</f>
        <v>2096000</v>
      </c>
      <c r="N14" s="162"/>
      <c r="O14" s="158"/>
      <c r="P14" s="159"/>
      <c r="Q14" s="159"/>
      <c r="R14" s="159"/>
      <c r="S14" s="159" t="s">
        <v>73</v>
      </c>
      <c r="T14" s="163">
        <f>SUM(T2:T13)</f>
        <v>372093602.11401623</v>
      </c>
      <c r="U14" s="159" t="s">
        <v>72</v>
      </c>
      <c r="V14" s="161">
        <f>SUM(V2:V13)</f>
        <v>39158989.049111515</v>
      </c>
      <c r="W14" s="153"/>
      <c r="X14" s="158"/>
      <c r="Y14" s="159"/>
      <c r="Z14" s="159"/>
      <c r="AA14" s="159" t="s">
        <v>73</v>
      </c>
      <c r="AB14" s="161">
        <f>SUM(AB2:AB13)</f>
        <v>14129757.315079998</v>
      </c>
    </row>
    <row r="15" spans="1:28" s="1" customFormat="1" x14ac:dyDescent="0.25">
      <c r="J15" s="181"/>
      <c r="M15" s="181"/>
    </row>
    <row r="16" spans="1:28" x14ac:dyDescent="0.25">
      <c r="M16" s="181"/>
      <c r="O16" s="5"/>
    </row>
    <row r="17" spans="13:13" x14ac:dyDescent="0.25">
      <c r="M17" s="181"/>
    </row>
    <row r="18" spans="13:13" x14ac:dyDescent="0.25">
      <c r="M18" s="181"/>
    </row>
    <row r="19" spans="13:13" x14ac:dyDescent="0.25">
      <c r="M19" s="181"/>
    </row>
    <row r="20" spans="13:13" x14ac:dyDescent="0.25">
      <c r="M20" s="181"/>
    </row>
    <row r="21" spans="13:13" x14ac:dyDescent="0.25">
      <c r="M21" s="181"/>
    </row>
    <row r="22" spans="13:13" x14ac:dyDescent="0.25">
      <c r="M22" s="181"/>
    </row>
    <row r="23" spans="13:13" x14ac:dyDescent="0.25">
      <c r="M23" s="181"/>
    </row>
    <row r="24" spans="13:13" x14ac:dyDescent="0.25">
      <c r="M24" s="181"/>
    </row>
    <row r="25" spans="13:13" x14ac:dyDescent="0.25">
      <c r="M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A7D1-6C3A-4DCE-BD82-9E6B98041DBB}">
  <sheetPr codeName="Planilha10"/>
  <dimension ref="A1:AB25"/>
  <sheetViews>
    <sheetView zoomScale="80" zoomScaleNormal="80" workbookViewId="0">
      <selection activeCell="G18" sqref="G18"/>
    </sheetView>
  </sheetViews>
  <sheetFormatPr defaultRowHeight="15" x14ac:dyDescent="0.25"/>
  <cols>
    <col min="1" max="1" width="14.42578125" bestFit="1" customWidth="1"/>
    <col min="2" max="3" width="14.42578125" customWidth="1"/>
    <col min="4" max="4" width="19.5703125" customWidth="1"/>
    <col min="5" max="6" width="19.85546875" customWidth="1"/>
    <col min="7" max="7" width="14.42578125" customWidth="1"/>
    <col min="8" max="9" width="18.7109375" customWidth="1"/>
    <col min="10" max="10" width="18.42578125" customWidth="1"/>
    <col min="11" max="11" width="1.7109375" customWidth="1"/>
    <col min="12" max="12" width="18.7109375" customWidth="1"/>
    <col min="13" max="13" width="17.7109375" customWidth="1"/>
    <col min="14" max="14" width="1.7109375" customWidth="1"/>
    <col min="15" max="15" width="20.7109375" customWidth="1"/>
    <col min="16" max="20" width="22.28515625" customWidth="1"/>
    <col min="21" max="21" width="19.28515625" customWidth="1"/>
    <col min="22" max="22" width="21.28515625" customWidth="1"/>
    <col min="23" max="23" width="1.7109375" customWidth="1"/>
    <col min="24" max="24" width="14.5703125" customWidth="1"/>
    <col min="25" max="25" width="17.7109375" customWidth="1"/>
    <col min="26" max="26" width="20" customWidth="1"/>
    <col min="27" max="27" width="17.7109375" customWidth="1"/>
    <col min="28" max="28" width="20.5703125" customWidth="1"/>
  </cols>
  <sheetData>
    <row r="1" spans="1:28" s="1" customFormat="1" ht="45" x14ac:dyDescent="0.25">
      <c r="A1" s="142" t="s">
        <v>38</v>
      </c>
      <c r="B1" s="143" t="s">
        <v>39</v>
      </c>
      <c r="C1" s="143" t="s">
        <v>190</v>
      </c>
      <c r="D1" s="143" t="s">
        <v>40</v>
      </c>
      <c r="E1" s="144" t="s">
        <v>41</v>
      </c>
      <c r="F1" s="144" t="s">
        <v>42</v>
      </c>
      <c r="G1" s="143" t="s">
        <v>43</v>
      </c>
      <c r="H1" s="143" t="s">
        <v>44</v>
      </c>
      <c r="I1" s="143" t="s">
        <v>45</v>
      </c>
      <c r="J1" s="145" t="s">
        <v>46</v>
      </c>
      <c r="K1" s="146"/>
      <c r="L1" s="147" t="s">
        <v>47</v>
      </c>
      <c r="M1" s="145" t="s">
        <v>48</v>
      </c>
      <c r="N1" s="146"/>
      <c r="O1" s="147" t="s">
        <v>49</v>
      </c>
      <c r="P1" s="143" t="s">
        <v>50</v>
      </c>
      <c r="Q1" s="143" t="s">
        <v>51</v>
      </c>
      <c r="R1" s="143" t="s">
        <v>52</v>
      </c>
      <c r="S1" s="143" t="s">
        <v>53</v>
      </c>
      <c r="T1" s="148" t="s">
        <v>54</v>
      </c>
      <c r="U1" s="143" t="s">
        <v>55</v>
      </c>
      <c r="V1" s="145" t="s">
        <v>189</v>
      </c>
      <c r="W1" s="146"/>
      <c r="X1" s="147" t="s">
        <v>56</v>
      </c>
      <c r="Y1" s="143" t="s">
        <v>57</v>
      </c>
      <c r="Z1" s="143" t="s">
        <v>52</v>
      </c>
      <c r="AA1" s="143" t="s">
        <v>58</v>
      </c>
      <c r="AB1" s="145" t="s">
        <v>59</v>
      </c>
    </row>
    <row r="2" spans="1:28" s="1" customFormat="1" x14ac:dyDescent="0.25">
      <c r="A2" s="149" t="s">
        <v>60</v>
      </c>
      <c r="B2" s="150">
        <v>245116.52955000001</v>
      </c>
      <c r="C2" s="150">
        <f>B2*dados!$E$11</f>
        <v>36277.246373399998</v>
      </c>
      <c r="D2" s="151">
        <f>C2*dados!$D$3</f>
        <v>131542673.88531059</v>
      </c>
      <c r="E2" s="152">
        <f>C2*dados!$I$3</f>
        <v>205909196.11808041</v>
      </c>
      <c r="F2" s="152">
        <f>E2-(D2+J2+M2+T2+V2+AB2)</f>
        <v>36565686.065546542</v>
      </c>
      <c r="G2" s="153">
        <v>50</v>
      </c>
      <c r="H2" s="150">
        <f>C2/5000</f>
        <v>7.2554492746799992</v>
      </c>
      <c r="I2" s="150">
        <v>1</v>
      </c>
      <c r="J2" s="154">
        <f>(15000*1)+(80000*1)+(68500*1)+1050000+36540</f>
        <v>1250040</v>
      </c>
      <c r="K2" s="155"/>
      <c r="L2" s="156">
        <v>2</v>
      </c>
      <c r="M2" s="154">
        <f>(16000*L2)+(90000*L2)+(78500*L2)</f>
        <v>369000</v>
      </c>
      <c r="N2" s="155"/>
      <c r="O2" s="156">
        <v>36277.246373399998</v>
      </c>
      <c r="P2" s="184">
        <f>O2/1307</f>
        <v>27.756118112777351</v>
      </c>
      <c r="Q2" s="184">
        <v>27.756118112777351</v>
      </c>
      <c r="R2" s="157">
        <f>((P2*100)/Q2)/100</f>
        <v>0.99999999999999989</v>
      </c>
      <c r="S2" s="183" t="str">
        <f>IF(R2&lt;0.5,"5 - Excelente",IF(AND(R2&gt;=0.5001,R2&lt;=0.6),"4 - Bom",IF(AND(R2&gt;0.6001,R2&lt;=0.75),"3 - Regular",IF(AND(R2&gt;0.7501,R2&lt;=0.85),"2 - Ruim",IF(R2&gt;0.8501,"1 - Péssimo")))))</f>
        <v>1 - Péssimo</v>
      </c>
      <c r="T2" s="155">
        <f>(Q2*1256000)</f>
        <v>34861684.349648349</v>
      </c>
      <c r="U2" s="182">
        <f t="shared" ref="U2:U13" si="0">Q2/5</f>
        <v>5.5512236225554705</v>
      </c>
      <c r="V2" s="154">
        <f>U2*19000+U2*100000+U2*82500</f>
        <v>1118571.5599449272</v>
      </c>
      <c r="W2" s="153"/>
      <c r="X2" s="156">
        <f>O2/27000</f>
        <v>1.3436017175333332</v>
      </c>
      <c r="Y2" s="153">
        <v>1.3436017175333332</v>
      </c>
      <c r="Z2" s="157">
        <f>((X2*100)/Y2)/100</f>
        <v>1</v>
      </c>
      <c r="AA2" s="153" t="str">
        <f>IF(Z2&lt;0.5,"5 - Excelente",IF(AND(Z2&gt;=0.5001,Z2&lt;=0.6),"4 - Bom",IF(AND(Z2&gt;0.6001,Z2&lt;=0.75),"3 - Regular",IF(AND(Z2&gt;0.7501,Z2&lt;=0.85),"2 - Ruim",IF(Z2&gt;0.8501,"1 - Péssimo")))))</f>
        <v>1 - Péssimo</v>
      </c>
      <c r="AB2" s="154">
        <f>150000*Y2</f>
        <v>201540.25762999998</v>
      </c>
    </row>
    <row r="3" spans="1:28" s="1" customFormat="1" x14ac:dyDescent="0.25">
      <c r="A3" s="149" t="s">
        <v>61</v>
      </c>
      <c r="B3" s="150">
        <v>210847.30290000001</v>
      </c>
      <c r="C3" s="150">
        <f>B3*dados!$E$11</f>
        <v>31205.4008292</v>
      </c>
      <c r="D3" s="151">
        <f>C3*dados!$D$3</f>
        <v>113151969.21191072</v>
      </c>
      <c r="E3" s="152">
        <f>C3*dados!$I$3</f>
        <v>177121464.3235569</v>
      </c>
      <c r="F3" s="152">
        <f t="shared" ref="F3:F13" si="1">E3-(D3+J3+M3+T3+V3+AB3)</f>
        <v>31924643.589486241</v>
      </c>
      <c r="G3" s="153">
        <v>50</v>
      </c>
      <c r="H3" s="150">
        <f t="shared" ref="H3:H13" si="2">C3/5000</f>
        <v>6.2410801658399997</v>
      </c>
      <c r="I3" s="150">
        <v>1</v>
      </c>
      <c r="J3" s="154">
        <f>(68500*I3)+36540</f>
        <v>105040</v>
      </c>
      <c r="K3" s="155"/>
      <c r="L3" s="156">
        <v>2</v>
      </c>
      <c r="M3" s="154">
        <f>78500*L3</f>
        <v>157000</v>
      </c>
      <c r="N3" s="155"/>
      <c r="O3" s="156">
        <v>31205.4008292</v>
      </c>
      <c r="P3" s="184">
        <f t="shared" ref="P3:P13" si="3">O3/1307+P2</f>
        <v>51.631711708186685</v>
      </c>
      <c r="Q3" s="184">
        <v>51.631711708186685</v>
      </c>
      <c r="R3" s="157">
        <f t="shared" ref="R3:R13" si="4">((P3*100)/Q3)/100</f>
        <v>1</v>
      </c>
      <c r="S3" s="183" t="str">
        <f t="shared" ref="S3:S12" si="5">IF(R3&lt;0.5,"5 - Excelente",IF(AND(R3&gt;=0.5001,R3&lt;=0.6),"4 - Bom",IF(AND(R3&gt;0.6001,R3&lt;=0.75),"3 - Regular",IF(AND(R3&gt;0.7501,R3&lt;=0.85),"2 - Ruim",IF(R3&gt;0.8501,"1 - Péssimo")))))</f>
        <v>1 - Péssimo</v>
      </c>
      <c r="T3" s="155">
        <f>((Q3-Q2)*1256000)</f>
        <v>29987745.555834126</v>
      </c>
      <c r="U3" s="182">
        <f>(Q3/5)</f>
        <v>10.326342341637337</v>
      </c>
      <c r="V3" s="154">
        <f>(U3-U2)*19000+(U3-U2)*100000+U3*82500</f>
        <v>1420162.3707558224</v>
      </c>
      <c r="W3" s="153"/>
      <c r="X3" s="156">
        <f t="shared" ref="X3:X13" si="6">O3/27000+X2</f>
        <v>2.4993573038000001</v>
      </c>
      <c r="Y3" s="153">
        <v>2.4993573038000001</v>
      </c>
      <c r="Z3" s="157">
        <f>((X3*100)/Y3)/100</f>
        <v>1</v>
      </c>
      <c r="AA3" s="153" t="str">
        <f t="shared" ref="AA3:AA13" si="7">IF(Z3&lt;0.5,"5 - Excelente",IF(AND(Z3&gt;=0.5001,Z3&lt;=0.6),"4 - Bom",IF(AND(Z3&gt;0.6001,Z3&lt;=0.75),"3 - Regular",IF(AND(Z3&gt;0.7501,Z3&lt;=0.85),"2 - Ruim",IF(Z3&gt;0.8501,"1 - Péssimo")))))</f>
        <v>1 - Péssimo</v>
      </c>
      <c r="AB3" s="154">
        <f t="shared" ref="AB3:AB13" si="8">150000*Y3</f>
        <v>374903.59557</v>
      </c>
    </row>
    <row r="4" spans="1:28" s="1" customFormat="1" x14ac:dyDescent="0.25">
      <c r="A4" s="149" t="s">
        <v>62</v>
      </c>
      <c r="B4" s="150">
        <v>223927.16040000002</v>
      </c>
      <c r="C4" s="150">
        <f>B4*dados!$E$11</f>
        <v>33141.219739200002</v>
      </c>
      <c r="D4" s="151">
        <f>C4*dados!$D$3</f>
        <v>120171322.14068931</v>
      </c>
      <c r="E4" s="152">
        <f>C4*dados!$I$3</f>
        <v>188109148.21459642</v>
      </c>
      <c r="F4" s="152">
        <f t="shared" si="1"/>
        <v>33394938.403622568</v>
      </c>
      <c r="G4" s="153">
        <v>50</v>
      </c>
      <c r="H4" s="150">
        <f t="shared" si="2"/>
        <v>6.6282439478400006</v>
      </c>
      <c r="I4" s="150">
        <v>1</v>
      </c>
      <c r="J4" s="154">
        <f t="shared" ref="J4:J13" si="9">(68500*I4)+36540</f>
        <v>105040</v>
      </c>
      <c r="K4" s="155"/>
      <c r="L4" s="156">
        <v>2</v>
      </c>
      <c r="M4" s="154">
        <f t="shared" ref="M4:M12" si="10">78500*L4</f>
        <v>157000</v>
      </c>
      <c r="N4" s="155"/>
      <c r="O4" s="156">
        <v>33141.219739200002</v>
      </c>
      <c r="P4" s="184">
        <f t="shared" si="3"/>
        <v>76.988421531599073</v>
      </c>
      <c r="Q4" s="184">
        <v>76.988421531599073</v>
      </c>
      <c r="R4" s="157">
        <f t="shared" si="4"/>
        <v>1</v>
      </c>
      <c r="S4" s="183" t="str">
        <f t="shared" si="5"/>
        <v>1 - Péssimo</v>
      </c>
      <c r="T4" s="155">
        <f t="shared" ref="T4:T13" si="11">((Q4-Q3)*1256000)</f>
        <v>31848027.538205959</v>
      </c>
      <c r="U4" s="182">
        <f t="shared" si="0"/>
        <v>15.397684306319814</v>
      </c>
      <c r="V4" s="154">
        <f>(U4-U3)*19000+(U4-U3)*100000+U4*82500</f>
        <v>1873798.6490685993</v>
      </c>
      <c r="W4" s="153"/>
      <c r="X4" s="156">
        <f t="shared" si="6"/>
        <v>3.7268098867333332</v>
      </c>
      <c r="Y4" s="153">
        <v>3.7268098867333332</v>
      </c>
      <c r="Z4" s="157">
        <f t="shared" ref="Z4:Z13" si="12">((X4*100)/Y4)/100</f>
        <v>1</v>
      </c>
      <c r="AA4" s="153" t="str">
        <f t="shared" si="7"/>
        <v>1 - Péssimo</v>
      </c>
      <c r="AB4" s="154">
        <f t="shared" si="8"/>
        <v>559021.48300999997</v>
      </c>
    </row>
    <row r="5" spans="1:28" s="1" customFormat="1" x14ac:dyDescent="0.25">
      <c r="A5" s="149" t="s">
        <v>63</v>
      </c>
      <c r="B5" s="150">
        <v>210847.30290000001</v>
      </c>
      <c r="C5" s="150">
        <f>B5*dados!$E$11</f>
        <v>31205.4008292</v>
      </c>
      <c r="D5" s="151">
        <f>C5*dados!$D$3</f>
        <v>113151969.21191072</v>
      </c>
      <c r="E5" s="152">
        <f>C5*dados!$I$3</f>
        <v>177121464.3235569</v>
      </c>
      <c r="F5" s="152">
        <f t="shared" si="1"/>
        <v>30754829.357695669</v>
      </c>
      <c r="G5" s="153">
        <v>50</v>
      </c>
      <c r="H5" s="150">
        <f t="shared" si="2"/>
        <v>6.2410801658399997</v>
      </c>
      <c r="I5" s="150">
        <v>1</v>
      </c>
      <c r="J5" s="154">
        <f t="shared" si="9"/>
        <v>105040</v>
      </c>
      <c r="K5" s="155"/>
      <c r="L5" s="156">
        <v>2</v>
      </c>
      <c r="M5" s="154">
        <f t="shared" si="10"/>
        <v>157000</v>
      </c>
      <c r="N5" s="155"/>
      <c r="O5" s="156">
        <v>31205.4008292</v>
      </c>
      <c r="P5" s="184">
        <f t="shared" si="3"/>
        <v>100.8640151270084</v>
      </c>
      <c r="Q5" s="184">
        <v>100.8640151270084</v>
      </c>
      <c r="R5" s="157">
        <f t="shared" si="4"/>
        <v>1</v>
      </c>
      <c r="S5" s="183" t="str">
        <f t="shared" si="5"/>
        <v>1 - Péssimo</v>
      </c>
      <c r="T5" s="155">
        <f t="shared" si="11"/>
        <v>29987745.555834115</v>
      </c>
      <c r="U5" s="182">
        <f t="shared" si="0"/>
        <v>20.172803025401681</v>
      </c>
      <c r="V5" s="154">
        <f t="shared" ref="V5:V13" si="13">(U5-U4)*19000+(U5-U4)*100000+U5*82500</f>
        <v>2232495.3771663806</v>
      </c>
      <c r="W5" s="153"/>
      <c r="X5" s="156">
        <f t="shared" si="6"/>
        <v>4.8825654729999997</v>
      </c>
      <c r="Y5" s="153">
        <v>4.8825654729999997</v>
      </c>
      <c r="Z5" s="157">
        <f t="shared" si="12"/>
        <v>1</v>
      </c>
      <c r="AA5" s="153" t="str">
        <f t="shared" si="7"/>
        <v>1 - Péssimo</v>
      </c>
      <c r="AB5" s="154">
        <f t="shared" si="8"/>
        <v>732384.82094999996</v>
      </c>
    </row>
    <row r="6" spans="1:28" s="1" customFormat="1" x14ac:dyDescent="0.25">
      <c r="A6" s="149" t="s">
        <v>64</v>
      </c>
      <c r="B6" s="150">
        <v>237007.01790000001</v>
      </c>
      <c r="C6" s="150">
        <f>B6*dados!$E$11</f>
        <v>35077.038649199996</v>
      </c>
      <c r="D6" s="151">
        <f>C6*dados!$D$3</f>
        <v>127190675.06946787</v>
      </c>
      <c r="E6" s="152">
        <f>C6*dados!$I$3</f>
        <v>199096832.10563591</v>
      </c>
      <c r="F6" s="152">
        <f t="shared" si="1"/>
        <v>34262729.618232548</v>
      </c>
      <c r="G6" s="153">
        <v>50</v>
      </c>
      <c r="H6" s="150">
        <f t="shared" si="2"/>
        <v>7.0154077298399988</v>
      </c>
      <c r="I6" s="150">
        <v>1</v>
      </c>
      <c r="J6" s="154">
        <f t="shared" si="9"/>
        <v>105040</v>
      </c>
      <c r="K6" s="155"/>
      <c r="L6" s="156">
        <v>2</v>
      </c>
      <c r="M6" s="154">
        <f t="shared" si="10"/>
        <v>157000</v>
      </c>
      <c r="N6" s="155"/>
      <c r="O6" s="156">
        <v>35077.038649199996</v>
      </c>
      <c r="P6" s="184">
        <f t="shared" si="3"/>
        <v>127.70184117842385</v>
      </c>
      <c r="Q6" s="184">
        <v>127.70184117842385</v>
      </c>
      <c r="R6" s="157">
        <f t="shared" si="4"/>
        <v>1</v>
      </c>
      <c r="S6" s="183" t="str">
        <f t="shared" si="5"/>
        <v>1 - Péssimo</v>
      </c>
      <c r="T6" s="155">
        <f t="shared" si="11"/>
        <v>33708309.520577803</v>
      </c>
      <c r="U6" s="182">
        <f t="shared" si="0"/>
        <v>25.54036823568477</v>
      </c>
      <c r="V6" s="154">
        <f t="shared" si="13"/>
        <v>2745820.6394676808</v>
      </c>
      <c r="W6" s="153"/>
      <c r="X6" s="156">
        <f t="shared" si="6"/>
        <v>6.1817150525999995</v>
      </c>
      <c r="Y6" s="153">
        <v>6.1817150525999995</v>
      </c>
      <c r="Z6" s="157">
        <f t="shared" si="12"/>
        <v>1.0000000000000002</v>
      </c>
      <c r="AA6" s="153" t="str">
        <f t="shared" si="7"/>
        <v>1 - Péssimo</v>
      </c>
      <c r="AB6" s="154">
        <f t="shared" si="8"/>
        <v>927257.25788999989</v>
      </c>
    </row>
    <row r="7" spans="1:28" s="1" customFormat="1" x14ac:dyDescent="0.25">
      <c r="A7" s="149" t="s">
        <v>65</v>
      </c>
      <c r="B7" s="150">
        <v>221311.18890000001</v>
      </c>
      <c r="C7" s="150">
        <f>B7*dados!$E$11</f>
        <v>32754.055957199998</v>
      </c>
      <c r="D7" s="151">
        <f>C7*dados!$D$3</f>
        <v>118767451.55493358</v>
      </c>
      <c r="E7" s="152">
        <f>C7*dados!$I$3</f>
        <v>185911611.43638849</v>
      </c>
      <c r="F7" s="152">
        <f t="shared" si="1"/>
        <v>31179906.515763521</v>
      </c>
      <c r="G7" s="153">
        <v>50</v>
      </c>
      <c r="H7" s="150">
        <f t="shared" si="2"/>
        <v>6.5508111914399993</v>
      </c>
      <c r="I7" s="150">
        <v>1</v>
      </c>
      <c r="J7" s="154">
        <f t="shared" si="9"/>
        <v>105040</v>
      </c>
      <c r="K7" s="155"/>
      <c r="L7" s="156">
        <v>2</v>
      </c>
      <c r="M7" s="154">
        <f t="shared" si="10"/>
        <v>157000</v>
      </c>
      <c r="N7" s="155"/>
      <c r="O7" s="156">
        <v>32754.055957199998</v>
      </c>
      <c r="P7" s="184">
        <f t="shared" si="3"/>
        <v>152.76232775623563</v>
      </c>
      <c r="Q7" s="184">
        <v>152.76232775623563</v>
      </c>
      <c r="R7" s="157">
        <f t="shared" si="4"/>
        <v>1</v>
      </c>
      <c r="S7" s="183" t="str">
        <f t="shared" si="5"/>
        <v>1 - Péssimo</v>
      </c>
      <c r="T7" s="155">
        <f t="shared" si="11"/>
        <v>31475971.141731605</v>
      </c>
      <c r="U7" s="182">
        <f t="shared" si="0"/>
        <v>30.552465551247128</v>
      </c>
      <c r="V7" s="154">
        <f t="shared" si="13"/>
        <v>3117017.9885298084</v>
      </c>
      <c r="W7" s="153"/>
      <c r="X7" s="156">
        <f t="shared" si="6"/>
        <v>7.3948282361999995</v>
      </c>
      <c r="Y7" s="153">
        <v>7.3948282361999995</v>
      </c>
      <c r="Z7" s="157">
        <f t="shared" si="12"/>
        <v>1</v>
      </c>
      <c r="AA7" s="153" t="str">
        <f t="shared" si="7"/>
        <v>1 - Péssimo</v>
      </c>
      <c r="AB7" s="154">
        <f t="shared" si="8"/>
        <v>1109224.2354299999</v>
      </c>
    </row>
    <row r="8" spans="1:28" s="1" customFormat="1" x14ac:dyDescent="0.25">
      <c r="A8" s="149" t="s">
        <v>66</v>
      </c>
      <c r="B8" s="150">
        <v>210847.30290000001</v>
      </c>
      <c r="C8" s="150">
        <f>B8*dados!$E$11</f>
        <v>31205.4008292</v>
      </c>
      <c r="D8" s="151">
        <f>C8*dados!$D$3</f>
        <v>113151969.21191072</v>
      </c>
      <c r="E8" s="152">
        <f>C8*dados!$I$3</f>
        <v>177121464.3235569</v>
      </c>
      <c r="F8" s="152">
        <f t="shared" si="1"/>
        <v>28954357.152569175</v>
      </c>
      <c r="G8" s="153">
        <v>50</v>
      </c>
      <c r="H8" s="150">
        <f t="shared" si="2"/>
        <v>6.2410801658399997</v>
      </c>
      <c r="I8" s="150">
        <v>1</v>
      </c>
      <c r="J8" s="154">
        <f t="shared" si="9"/>
        <v>105040</v>
      </c>
      <c r="K8" s="155"/>
      <c r="L8" s="156">
        <v>2</v>
      </c>
      <c r="M8" s="154">
        <f t="shared" si="10"/>
        <v>157000</v>
      </c>
      <c r="N8" s="155"/>
      <c r="O8" s="156">
        <v>31205.4008292</v>
      </c>
      <c r="P8" s="184">
        <f t="shared" si="3"/>
        <v>176.63792135164496</v>
      </c>
      <c r="Q8" s="184">
        <v>176.63792135164496</v>
      </c>
      <c r="R8" s="157">
        <f t="shared" si="4"/>
        <v>0.99999999999999989</v>
      </c>
      <c r="S8" s="183" t="str">
        <f t="shared" si="5"/>
        <v>1 - Péssimo</v>
      </c>
      <c r="T8" s="155">
        <f t="shared" si="11"/>
        <v>29987745.555834115</v>
      </c>
      <c r="U8" s="182">
        <f t="shared" si="0"/>
        <v>35.327584270328991</v>
      </c>
      <c r="V8" s="154">
        <f t="shared" si="13"/>
        <v>3482764.8298728834</v>
      </c>
      <c r="W8" s="153"/>
      <c r="X8" s="156">
        <f t="shared" si="6"/>
        <v>8.5505838224666668</v>
      </c>
      <c r="Y8" s="153">
        <v>8.5505838224666668</v>
      </c>
      <c r="Z8" s="157">
        <f t="shared" si="12"/>
        <v>1</v>
      </c>
      <c r="AA8" s="153" t="str">
        <f t="shared" si="7"/>
        <v>1 - Péssimo</v>
      </c>
      <c r="AB8" s="154">
        <f t="shared" si="8"/>
        <v>1282587.5733700001</v>
      </c>
    </row>
    <row r="9" spans="1:28" s="1" customFormat="1" x14ac:dyDescent="0.25">
      <c r="A9" s="149" t="s">
        <v>67</v>
      </c>
      <c r="B9" s="150">
        <v>210847.30290000001</v>
      </c>
      <c r="C9" s="150">
        <f>B9*dados!$E$11</f>
        <v>31205.4008292</v>
      </c>
      <c r="D9" s="151">
        <f>C9*dados!$D$3</f>
        <v>113151969.21191072</v>
      </c>
      <c r="E9" s="152">
        <f>C9*dados!$I$3</f>
        <v>177121464.3235569</v>
      </c>
      <c r="F9" s="152">
        <f t="shared" si="1"/>
        <v>28387046.520304948</v>
      </c>
      <c r="G9" s="153">
        <v>50</v>
      </c>
      <c r="H9" s="150">
        <f t="shared" si="2"/>
        <v>6.2410801658399997</v>
      </c>
      <c r="I9" s="150">
        <v>1</v>
      </c>
      <c r="J9" s="154">
        <f t="shared" si="9"/>
        <v>105040</v>
      </c>
      <c r="K9" s="155"/>
      <c r="L9" s="156">
        <v>2</v>
      </c>
      <c r="M9" s="154">
        <f t="shared" si="10"/>
        <v>157000</v>
      </c>
      <c r="N9" s="155"/>
      <c r="O9" s="156">
        <v>31205.4008292</v>
      </c>
      <c r="P9" s="184">
        <f t="shared" si="3"/>
        <v>200.51351494705429</v>
      </c>
      <c r="Q9" s="184">
        <v>200.51351494705429</v>
      </c>
      <c r="R9" s="157">
        <f t="shared" si="4"/>
        <v>1</v>
      </c>
      <c r="S9" s="183" t="str">
        <f t="shared" si="5"/>
        <v>1 - Péssimo</v>
      </c>
      <c r="T9" s="155">
        <f t="shared" si="11"/>
        <v>29987745.555834115</v>
      </c>
      <c r="U9" s="182">
        <f t="shared" si="0"/>
        <v>40.102702989410858</v>
      </c>
      <c r="V9" s="154">
        <f t="shared" si="13"/>
        <v>3876712.124197138</v>
      </c>
      <c r="W9" s="153"/>
      <c r="X9" s="156">
        <f t="shared" si="6"/>
        <v>9.7063394087333332</v>
      </c>
      <c r="Y9" s="153">
        <v>9.7063394087333332</v>
      </c>
      <c r="Z9" s="157">
        <f>((X9*100)/Y9)/100</f>
        <v>1</v>
      </c>
      <c r="AA9" s="153" t="str">
        <f t="shared" si="7"/>
        <v>1 - Péssimo</v>
      </c>
      <c r="AB9" s="154">
        <f t="shared" si="8"/>
        <v>1455950.9113099999</v>
      </c>
    </row>
    <row r="10" spans="1:28" s="1" customFormat="1" x14ac:dyDescent="0.25">
      <c r="A10" s="149" t="s">
        <v>68</v>
      </c>
      <c r="B10" s="150">
        <v>194889.87675</v>
      </c>
      <c r="C10" s="150">
        <f>B10*dados!$E$11</f>
        <v>28843.701759</v>
      </c>
      <c r="D10" s="151">
        <f>C10*dados!$D$3</f>
        <v>104588358.63880086</v>
      </c>
      <c r="E10" s="152">
        <f>C10*dados!$I$3</f>
        <v>163716489.97648871</v>
      </c>
      <c r="F10" s="152">
        <f t="shared" si="1"/>
        <v>25333857.243431985</v>
      </c>
      <c r="G10" s="153">
        <v>50</v>
      </c>
      <c r="H10" s="150">
        <f t="shared" si="2"/>
        <v>5.7687403518</v>
      </c>
      <c r="I10" s="150">
        <v>1</v>
      </c>
      <c r="J10" s="154">
        <f t="shared" si="9"/>
        <v>105040</v>
      </c>
      <c r="K10" s="155"/>
      <c r="L10" s="156">
        <v>2</v>
      </c>
      <c r="M10" s="154">
        <f t="shared" si="10"/>
        <v>157000</v>
      </c>
      <c r="N10" s="155"/>
      <c r="O10" s="156">
        <v>28843.701759</v>
      </c>
      <c r="P10" s="184">
        <f t="shared" si="3"/>
        <v>222.58214674429991</v>
      </c>
      <c r="Q10" s="184">
        <v>222.58214674429991</v>
      </c>
      <c r="R10" s="157">
        <f t="shared" si="4"/>
        <v>1</v>
      </c>
      <c r="S10" s="183" t="str">
        <f t="shared" si="5"/>
        <v>1 - Péssimo</v>
      </c>
      <c r="T10" s="155">
        <f t="shared" si="11"/>
        <v>27718201.537340492</v>
      </c>
      <c r="U10" s="182">
        <f t="shared" si="0"/>
        <v>44.51642934885998</v>
      </c>
      <c r="V10" s="154">
        <f t="shared" si="13"/>
        <v>4197838.8580553941</v>
      </c>
      <c r="W10" s="153"/>
      <c r="X10" s="156">
        <f t="shared" si="6"/>
        <v>10.774624659066667</v>
      </c>
      <c r="Y10" s="153">
        <v>10.774624659066667</v>
      </c>
      <c r="Z10" s="157">
        <f t="shared" si="12"/>
        <v>1</v>
      </c>
      <c r="AA10" s="153" t="str">
        <f t="shared" si="7"/>
        <v>1 - Péssimo</v>
      </c>
      <c r="AB10" s="154">
        <f t="shared" si="8"/>
        <v>1616193.6988600001</v>
      </c>
    </row>
    <row r="11" spans="1:28" s="1" customFormat="1" x14ac:dyDescent="0.25">
      <c r="A11" s="149" t="s">
        <v>69</v>
      </c>
      <c r="B11" s="150">
        <v>158004.67859999998</v>
      </c>
      <c r="C11" s="150">
        <f>B11*dados!$E$11</f>
        <v>23384.692432799995</v>
      </c>
      <c r="D11" s="151">
        <f>C11*dados!$D$3</f>
        <v>84793783.379645243</v>
      </c>
      <c r="E11" s="152">
        <f>C11*dados!$I$3</f>
        <v>132731221.40375726</v>
      </c>
      <c r="F11" s="152">
        <f t="shared" si="1"/>
        <v>19063434.67237784</v>
      </c>
      <c r="G11" s="153">
        <v>50</v>
      </c>
      <c r="H11" s="150">
        <f t="shared" si="2"/>
        <v>4.6769384865599992</v>
      </c>
      <c r="I11" s="150">
        <v>1</v>
      </c>
      <c r="J11" s="154">
        <f t="shared" si="9"/>
        <v>105040</v>
      </c>
      <c r="K11" s="155"/>
      <c r="L11" s="156">
        <v>2</v>
      </c>
      <c r="M11" s="154">
        <f t="shared" si="10"/>
        <v>157000</v>
      </c>
      <c r="N11" s="155"/>
      <c r="O11" s="156">
        <v>23384.692432799995</v>
      </c>
      <c r="P11" s="184">
        <f t="shared" si="3"/>
        <v>240.47403077857686</v>
      </c>
      <c r="Q11" s="184">
        <v>240.47403077857686</v>
      </c>
      <c r="R11" s="157">
        <f t="shared" si="4"/>
        <v>1</v>
      </c>
      <c r="S11" s="183" t="str">
        <f t="shared" si="5"/>
        <v>1 - Péssimo</v>
      </c>
      <c r="T11" s="155">
        <f t="shared" si="11"/>
        <v>22472206.347051855</v>
      </c>
      <c r="U11" s="182">
        <f t="shared" si="0"/>
        <v>48.094806155715375</v>
      </c>
      <c r="V11" s="154">
        <f t="shared" si="13"/>
        <v>4393648.3478623107</v>
      </c>
      <c r="W11" s="153"/>
      <c r="X11" s="156">
        <f t="shared" si="6"/>
        <v>11.6407243788</v>
      </c>
      <c r="Y11" s="153">
        <v>11.6407243788</v>
      </c>
      <c r="Z11" s="157">
        <f t="shared" si="12"/>
        <v>1</v>
      </c>
      <c r="AA11" s="153" t="str">
        <f t="shared" si="7"/>
        <v>1 - Péssimo</v>
      </c>
      <c r="AB11" s="154">
        <f t="shared" si="8"/>
        <v>1746108.6568199999</v>
      </c>
    </row>
    <row r="12" spans="1:28" s="1" customFormat="1" x14ac:dyDescent="0.25">
      <c r="A12" s="149" t="s">
        <v>70</v>
      </c>
      <c r="B12" s="150">
        <v>276508.18754999997</v>
      </c>
      <c r="C12" s="150">
        <f>B12*dados!$E$11</f>
        <v>40923.211757399993</v>
      </c>
      <c r="D12" s="151">
        <f>C12*dados!$D$3</f>
        <v>148389120.91437918</v>
      </c>
      <c r="E12" s="152">
        <f>C12*dados!$I$3</f>
        <v>232279637.45657521</v>
      </c>
      <c r="F12" s="152">
        <f t="shared" si="1"/>
        <v>37099008.972241372</v>
      </c>
      <c r="G12" s="153">
        <v>75</v>
      </c>
      <c r="H12" s="150">
        <f t="shared" si="2"/>
        <v>8.1846423514799991</v>
      </c>
      <c r="I12" s="150">
        <v>1</v>
      </c>
      <c r="J12" s="154">
        <f t="shared" si="9"/>
        <v>105040</v>
      </c>
      <c r="K12" s="155"/>
      <c r="L12" s="156">
        <v>2</v>
      </c>
      <c r="M12" s="154">
        <f t="shared" si="10"/>
        <v>157000</v>
      </c>
      <c r="N12" s="155"/>
      <c r="O12" s="156">
        <v>40923.211757399993</v>
      </c>
      <c r="P12" s="184">
        <f t="shared" si="3"/>
        <v>271.78482783856157</v>
      </c>
      <c r="Q12" s="184">
        <v>271.78482783856157</v>
      </c>
      <c r="R12" s="157">
        <f t="shared" si="4"/>
        <v>1</v>
      </c>
      <c r="S12" s="183" t="str">
        <f t="shared" si="5"/>
        <v>1 - Péssimo</v>
      </c>
      <c r="T12" s="155">
        <f>((Q12-Q11)*1256000)</f>
        <v>39326361.10734079</v>
      </c>
      <c r="U12" s="182">
        <f t="shared" si="0"/>
        <v>54.356965567712315</v>
      </c>
      <c r="V12" s="154">
        <f t="shared" si="13"/>
        <v>5229646.6293639019</v>
      </c>
      <c r="W12" s="153"/>
      <c r="X12" s="156">
        <f t="shared" si="6"/>
        <v>13.156398888333333</v>
      </c>
      <c r="Y12" s="153">
        <v>13.156398888333333</v>
      </c>
      <c r="Z12" s="157">
        <f t="shared" si="12"/>
        <v>1</v>
      </c>
      <c r="AA12" s="153" t="str">
        <f t="shared" si="7"/>
        <v>1 - Péssimo</v>
      </c>
      <c r="AB12" s="154">
        <f t="shared" si="8"/>
        <v>1973459.8332499999</v>
      </c>
    </row>
    <row r="13" spans="1:28" s="1" customFormat="1" x14ac:dyDescent="0.25">
      <c r="A13" s="149" t="s">
        <v>71</v>
      </c>
      <c r="B13" s="150">
        <v>216079.24589999998</v>
      </c>
      <c r="C13" s="150">
        <f>B13*dados!$E$11</f>
        <v>31979.728393199995</v>
      </c>
      <c r="D13" s="151">
        <f>C13*dados!$D$3</f>
        <v>115959710.38342214</v>
      </c>
      <c r="E13" s="152">
        <f>C13*dados!$I$3</f>
        <v>181516537.8799727</v>
      </c>
      <c r="F13" s="152">
        <f t="shared" si="1"/>
        <v>26941292.481951028</v>
      </c>
      <c r="G13" s="153">
        <v>75</v>
      </c>
      <c r="H13" s="150">
        <f t="shared" si="2"/>
        <v>6.3959456786399995</v>
      </c>
      <c r="I13" s="150">
        <v>1</v>
      </c>
      <c r="J13" s="154">
        <f t="shared" si="9"/>
        <v>105040</v>
      </c>
      <c r="K13" s="155"/>
      <c r="L13" s="156">
        <v>2</v>
      </c>
      <c r="M13" s="154">
        <f>78500*2</f>
        <v>157000</v>
      </c>
      <c r="N13" s="155"/>
      <c r="O13" s="156">
        <v>31979.728393199995</v>
      </c>
      <c r="P13" s="184">
        <f t="shared" si="3"/>
        <v>296.2528679251721</v>
      </c>
      <c r="Q13" s="184">
        <v>296.2528679251721</v>
      </c>
      <c r="R13" s="157">
        <f t="shared" si="4"/>
        <v>1</v>
      </c>
      <c r="S13" s="183" t="str">
        <f>IF(R13&lt;0.5,"5 - Excelente",IF(AND(R13&gt;=0.5001,R13&lt;=0.6),"4 - Bom",IF(AND(R13&gt;0.6001,R13&lt;=0.75),"3 - Regular",IF(AND(R13&gt;0.7501,R13&lt;=0.85),"2 - Ruim",IF(R13&gt;0.8501,"1 - Péssimo")))))</f>
        <v>1 - Péssimo</v>
      </c>
      <c r="T13" s="155">
        <f>((Q13-Q12)*1256000)</f>
        <v>30731858.348782822</v>
      </c>
      <c r="U13" s="182">
        <f>Q13/5</f>
        <v>59.250573585034417</v>
      </c>
      <c r="V13" s="154">
        <f t="shared" si="13"/>
        <v>5470511.6748266695</v>
      </c>
      <c r="W13" s="153"/>
      <c r="X13" s="156">
        <f t="shared" si="6"/>
        <v>14.340833273266666</v>
      </c>
      <c r="Y13" s="153">
        <v>14.340833273266666</v>
      </c>
      <c r="Z13" s="157">
        <f t="shared" si="12"/>
        <v>1</v>
      </c>
      <c r="AA13" s="153" t="str">
        <f t="shared" si="7"/>
        <v>1 - Péssimo</v>
      </c>
      <c r="AB13" s="154">
        <f t="shared" si="8"/>
        <v>2151124.9909899998</v>
      </c>
    </row>
    <row r="14" spans="1:28" s="1" customFormat="1" ht="15.75" thickBot="1" x14ac:dyDescent="0.3">
      <c r="A14" s="158"/>
      <c r="B14" s="159" t="s">
        <v>72</v>
      </c>
      <c r="C14" s="159"/>
      <c r="D14" s="160">
        <f>SUM(D2:D13)</f>
        <v>1404010972.8142917</v>
      </c>
      <c r="E14" s="160">
        <f>SUM(E2:E13)</f>
        <v>2197756531.8857222</v>
      </c>
      <c r="F14" s="160">
        <f>SUM(F2:F13)</f>
        <v>363861730.59322345</v>
      </c>
      <c r="G14" s="159"/>
      <c r="H14" s="159"/>
      <c r="I14" s="159" t="s">
        <v>73</v>
      </c>
      <c r="J14" s="161">
        <f>SUM(J2:J13)</f>
        <v>2405480</v>
      </c>
      <c r="K14" s="162"/>
      <c r="L14" s="158" t="s">
        <v>73</v>
      </c>
      <c r="M14" s="161">
        <f>SUM(M2:M13)</f>
        <v>2096000</v>
      </c>
      <c r="N14" s="162"/>
      <c r="O14" s="158"/>
      <c r="P14" s="159"/>
      <c r="Q14" s="159"/>
      <c r="R14" s="159"/>
      <c r="S14" s="159" t="s">
        <v>73</v>
      </c>
      <c r="T14" s="163">
        <f>SUM(T2:T13)</f>
        <v>372093602.11401623</v>
      </c>
      <c r="U14" s="159" t="s">
        <v>72</v>
      </c>
      <c r="V14" s="161">
        <f>SUM(V2:V13)</f>
        <v>39158989.049111515</v>
      </c>
      <c r="W14" s="153"/>
      <c r="X14" s="158"/>
      <c r="Y14" s="159"/>
      <c r="Z14" s="159"/>
      <c r="AA14" s="159" t="s">
        <v>73</v>
      </c>
      <c r="AB14" s="161">
        <f>SUM(AB2:AB13)</f>
        <v>14129757.315079998</v>
      </c>
    </row>
    <row r="15" spans="1:28" s="1" customFormat="1" x14ac:dyDescent="0.25">
      <c r="J15" s="181"/>
      <c r="M15" s="181"/>
    </row>
    <row r="16" spans="1:28" x14ac:dyDescent="0.25">
      <c r="M16" s="181"/>
      <c r="O16" s="5"/>
    </row>
    <row r="17" spans="13:13" x14ac:dyDescent="0.25">
      <c r="M17" s="181"/>
    </row>
    <row r="18" spans="13:13" x14ac:dyDescent="0.25">
      <c r="M18" s="181"/>
    </row>
    <row r="19" spans="13:13" x14ac:dyDescent="0.25">
      <c r="M19" s="181"/>
    </row>
    <row r="20" spans="13:13" x14ac:dyDescent="0.25">
      <c r="M20" s="181"/>
    </row>
    <row r="21" spans="13:13" x14ac:dyDescent="0.25">
      <c r="M21" s="181"/>
    </row>
    <row r="22" spans="13:13" x14ac:dyDescent="0.25">
      <c r="M22" s="181"/>
    </row>
    <row r="23" spans="13:13" x14ac:dyDescent="0.25">
      <c r="M23" s="181"/>
    </row>
    <row r="24" spans="13:13" x14ac:dyDescent="0.25">
      <c r="M24" s="181"/>
    </row>
    <row r="25" spans="13:13" x14ac:dyDescent="0.25">
      <c r="M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76A0B-9780-4211-9905-16A960BA06D3}">
  <sheetPr codeName="Planilha11"/>
  <dimension ref="A1:AB25"/>
  <sheetViews>
    <sheetView topLeftCell="P1" zoomScale="80" zoomScaleNormal="80" workbookViewId="0">
      <selection activeCell="AA9" sqref="AA9"/>
    </sheetView>
  </sheetViews>
  <sheetFormatPr defaultRowHeight="15" x14ac:dyDescent="0.25"/>
  <cols>
    <col min="1" max="1" width="14.42578125" bestFit="1" customWidth="1"/>
    <col min="2" max="3" width="14.42578125" customWidth="1"/>
    <col min="4" max="4" width="19.5703125" customWidth="1"/>
    <col min="5" max="6" width="19.85546875" customWidth="1"/>
    <col min="7" max="7" width="14.42578125" customWidth="1"/>
    <col min="8" max="9" width="18.7109375" customWidth="1"/>
    <col min="10" max="10" width="18.42578125" customWidth="1"/>
    <col min="11" max="11" width="1.7109375" customWidth="1"/>
    <col min="12" max="12" width="18.7109375" customWidth="1"/>
    <col min="13" max="13" width="17.7109375" customWidth="1"/>
    <col min="14" max="14" width="1.7109375" customWidth="1"/>
    <col min="15" max="15" width="20.7109375" customWidth="1"/>
    <col min="16" max="20" width="22.28515625" customWidth="1"/>
    <col min="21" max="21" width="19.28515625" customWidth="1"/>
    <col min="22" max="22" width="21.28515625" customWidth="1"/>
    <col min="23" max="23" width="1.7109375" customWidth="1"/>
    <col min="24" max="24" width="14.5703125" customWidth="1"/>
    <col min="25" max="25" width="17.7109375" customWidth="1"/>
    <col min="26" max="26" width="20" customWidth="1"/>
    <col min="27" max="27" width="17.7109375" customWidth="1"/>
    <col min="28" max="28" width="20.5703125" customWidth="1"/>
  </cols>
  <sheetData>
    <row r="1" spans="1:28" s="1" customFormat="1" ht="45" x14ac:dyDescent="0.25">
      <c r="A1" s="142" t="s">
        <v>38</v>
      </c>
      <c r="B1" s="143" t="s">
        <v>39</v>
      </c>
      <c r="C1" s="143" t="s">
        <v>190</v>
      </c>
      <c r="D1" s="143" t="s">
        <v>40</v>
      </c>
      <c r="E1" s="144" t="s">
        <v>41</v>
      </c>
      <c r="F1" s="144" t="s">
        <v>42</v>
      </c>
      <c r="G1" s="143" t="s">
        <v>43</v>
      </c>
      <c r="H1" s="143" t="s">
        <v>44</v>
      </c>
      <c r="I1" s="143" t="s">
        <v>45</v>
      </c>
      <c r="J1" s="145" t="s">
        <v>46</v>
      </c>
      <c r="K1" s="146"/>
      <c r="L1" s="147" t="s">
        <v>47</v>
      </c>
      <c r="M1" s="145" t="s">
        <v>48</v>
      </c>
      <c r="N1" s="146"/>
      <c r="O1" s="147" t="s">
        <v>49</v>
      </c>
      <c r="P1" s="143" t="s">
        <v>50</v>
      </c>
      <c r="Q1" s="143" t="s">
        <v>51</v>
      </c>
      <c r="R1" s="143" t="s">
        <v>52</v>
      </c>
      <c r="S1" s="143" t="s">
        <v>53</v>
      </c>
      <c r="T1" s="148" t="s">
        <v>54</v>
      </c>
      <c r="U1" s="143" t="s">
        <v>55</v>
      </c>
      <c r="V1" s="145" t="s">
        <v>189</v>
      </c>
      <c r="W1" s="146"/>
      <c r="X1" s="147" t="s">
        <v>56</v>
      </c>
      <c r="Y1" s="143" t="s">
        <v>57</v>
      </c>
      <c r="Z1" s="143" t="s">
        <v>52</v>
      </c>
      <c r="AA1" s="143" t="s">
        <v>58</v>
      </c>
      <c r="AB1" s="145" t="s">
        <v>59</v>
      </c>
    </row>
    <row r="2" spans="1:28" s="1" customFormat="1" x14ac:dyDescent="0.25">
      <c r="A2" s="149" t="s">
        <v>60</v>
      </c>
      <c r="B2" s="150">
        <v>245116.52955000001</v>
      </c>
      <c r="C2" s="150">
        <f>B2*dados!$C$12</f>
        <v>87506.601049349993</v>
      </c>
      <c r="D2" s="151">
        <f>C2*dados!$D$4</f>
        <v>101358895.99546209</v>
      </c>
      <c r="E2" s="152">
        <f>C2*dados!$I$4</f>
        <v>200429840.10750428</v>
      </c>
      <c r="F2" s="152">
        <f>E2-(D2+J2+M2+T2+V2+AB2)</f>
        <v>9617304.1120421886</v>
      </c>
      <c r="G2" s="153">
        <v>50</v>
      </c>
      <c r="H2" s="150">
        <f>C2/5000</f>
        <v>17.501320209869998</v>
      </c>
      <c r="I2" s="150">
        <v>2</v>
      </c>
      <c r="J2" s="154">
        <f>(15000*2)+(80000*2)+(68500*2)+1050000+36540</f>
        <v>1413540</v>
      </c>
      <c r="K2" s="155"/>
      <c r="L2" s="156">
        <v>4</v>
      </c>
      <c r="M2" s="154">
        <f>(16000*L2)+(90000*L2)+(78500*L2)</f>
        <v>738000</v>
      </c>
      <c r="N2" s="155"/>
      <c r="O2" s="156">
        <v>87506.601049349993</v>
      </c>
      <c r="P2" s="184">
        <f>O2/1307</f>
        <v>66.952257880145368</v>
      </c>
      <c r="Q2" s="184">
        <v>67</v>
      </c>
      <c r="R2" s="157">
        <f>((P2*100)/Q2)/100</f>
        <v>0.99928743104694595</v>
      </c>
      <c r="S2" s="183" t="str">
        <f>IF(R2&lt;0.5,"5 - Excelente",IF(AND(R2&gt;=0.5001,R2&lt;=0.6),"4 - Bom",IF(AND(R2&gt;0.6001,R2&lt;=0.75),"3 - Regular",IF(AND(R2&gt;0.7501,R2&lt;=0.85),"2 - Ruim",IF(R2&gt;0.8501,"1 - Péssimo")))))</f>
        <v>1 - Péssimo</v>
      </c>
      <c r="T2" s="155">
        <f>(Q2*1256000)</f>
        <v>84152000</v>
      </c>
      <c r="U2" s="182">
        <f t="shared" ref="U2:U13" si="0">Q2/5</f>
        <v>13.4</v>
      </c>
      <c r="V2" s="154">
        <f>U2*19000+U2*100000+U2*82500</f>
        <v>2700100</v>
      </c>
      <c r="W2" s="153"/>
      <c r="X2" s="156">
        <f>O2/27000</f>
        <v>3.2409852240499997</v>
      </c>
      <c r="Y2" s="150">
        <v>3</v>
      </c>
      <c r="Z2" s="157">
        <f>((X2*100)/Y2)/100</f>
        <v>1.0803284080166666</v>
      </c>
      <c r="AA2" s="153" t="str">
        <f>IF(Z2&lt;0.5,"5 - Excelente",IF(AND(Z2&gt;=0.5001,Z2&lt;=0.6),"4 - Bom",IF(AND(Z2&gt;0.6001,Z2&lt;=0.75),"3 - Regular",IF(AND(Z2&gt;0.7501,Z2&lt;=0.85),"2 - Ruim",IF(Z2&gt;0.8501,"1 - Péssimo")))))</f>
        <v>1 - Péssimo</v>
      </c>
      <c r="AB2" s="154">
        <f>150000*Y2</f>
        <v>450000</v>
      </c>
    </row>
    <row r="3" spans="1:28" s="1" customFormat="1" x14ac:dyDescent="0.25">
      <c r="A3" s="149" t="s">
        <v>61</v>
      </c>
      <c r="B3" s="150">
        <v>210847.30290000001</v>
      </c>
      <c r="C3" s="150">
        <f>B3*dados!$C$12</f>
        <v>75272.487135300005</v>
      </c>
      <c r="D3" s="151">
        <f>C3*dados!$D$4</f>
        <v>87188121.848817989</v>
      </c>
      <c r="E3" s="152">
        <f>C3*dados!$I$4</f>
        <v>172408165.55672196</v>
      </c>
      <c r="F3" s="152">
        <f t="shared" ref="F3:F13" si="1">E3-(D3+J3+M3+T3+V3+AB3)</f>
        <v>7541603.7079039514</v>
      </c>
      <c r="G3" s="153">
        <v>50</v>
      </c>
      <c r="H3" s="150">
        <f>C3/5000</f>
        <v>15.054497427060001</v>
      </c>
      <c r="I3" s="150">
        <v>2</v>
      </c>
      <c r="J3" s="154">
        <f>(68500*I3)+36540</f>
        <v>173540</v>
      </c>
      <c r="K3" s="155"/>
      <c r="L3" s="156">
        <v>4</v>
      </c>
      <c r="M3" s="154">
        <f>78500*L3</f>
        <v>314000</v>
      </c>
      <c r="N3" s="155"/>
      <c r="O3" s="156">
        <v>75272.487135300005</v>
      </c>
      <c r="P3" s="184">
        <f t="shared" ref="P3:P13" si="2">O3/1307+P2</f>
        <v>124.54406135015302</v>
      </c>
      <c r="Q3" s="184">
        <v>125</v>
      </c>
      <c r="R3" s="157">
        <f t="shared" ref="R3:R13" si="3">((P3*100)/Q3)/100</f>
        <v>0.99635249080122423</v>
      </c>
      <c r="S3" s="183" t="str">
        <f t="shared" ref="S3:S12" si="4">IF(R3&lt;0.5,"5 - Excelente",IF(AND(R3&gt;=0.5001,R3&lt;=0.6),"4 - Bom",IF(AND(R3&gt;0.6001,R3&lt;=0.75),"3 - Regular",IF(AND(R3&gt;0.7501,R3&lt;=0.85),"2 - Ruim",IF(R3&gt;0.8501,"1 - Péssimo")))))</f>
        <v>1 - Péssimo</v>
      </c>
      <c r="T3" s="155">
        <f>((Q3-Q2)*1256000)</f>
        <v>72848000</v>
      </c>
      <c r="U3" s="182">
        <f>(Q3/5)</f>
        <v>25</v>
      </c>
      <c r="V3" s="154">
        <f>(U3-U2)*19000+(U3-U2)*100000+U3*82500</f>
        <v>3442900</v>
      </c>
      <c r="W3" s="153"/>
      <c r="X3" s="156">
        <f t="shared" ref="X3:X13" si="5">O3/27000+X2</f>
        <v>6.0288551179500001</v>
      </c>
      <c r="Y3" s="150">
        <v>6</v>
      </c>
      <c r="Z3" s="157">
        <f>((X3*100)/Y3)/100</f>
        <v>1.0048091863249999</v>
      </c>
      <c r="AA3" s="153" t="str">
        <f t="shared" ref="AA3:AA13" si="6">IF(Z3&lt;0.5,"5 - Excelente",IF(AND(Z3&gt;=0.5001,Z3&lt;=0.6),"4 - Bom",IF(AND(Z3&gt;0.6001,Z3&lt;=0.75),"3 - Regular",IF(AND(Z3&gt;0.7501,Z3&lt;=0.85),"2 - Ruim",IF(Z3&gt;0.8501,"1 - Péssimo")))))</f>
        <v>1 - Péssimo</v>
      </c>
      <c r="AB3" s="154">
        <f t="shared" ref="AB3:AB13" si="7">150000*Y3</f>
        <v>900000</v>
      </c>
    </row>
    <row r="4" spans="1:28" s="1" customFormat="1" x14ac:dyDescent="0.25">
      <c r="A4" s="149" t="s">
        <v>62</v>
      </c>
      <c r="B4" s="150">
        <v>223927.16040000002</v>
      </c>
      <c r="C4" s="150">
        <f>B4*dados!$C$12</f>
        <v>79941.996262800007</v>
      </c>
      <c r="D4" s="151">
        <f>C4*dados!$D$4</f>
        <v>92596814.271201238</v>
      </c>
      <c r="E4" s="152">
        <f>C4*dados!$I$4</f>
        <v>183103461.18679154</v>
      </c>
      <c r="F4" s="152">
        <f t="shared" si="1"/>
        <v>7532306.9155902863</v>
      </c>
      <c r="G4" s="153">
        <v>50</v>
      </c>
      <c r="H4" s="150">
        <f t="shared" ref="H3:H13" si="8">C4/5000</f>
        <v>15.988399252560001</v>
      </c>
      <c r="I4" s="150">
        <v>2</v>
      </c>
      <c r="J4" s="154">
        <f>(68500*I4)+36540</f>
        <v>173540</v>
      </c>
      <c r="K4" s="155"/>
      <c r="L4" s="156">
        <v>4</v>
      </c>
      <c r="M4" s="154">
        <f t="shared" ref="M4:M12" si="9">78500*L4</f>
        <v>314000</v>
      </c>
      <c r="N4" s="155"/>
      <c r="O4" s="156">
        <v>79941.996262800007</v>
      </c>
      <c r="P4" s="184">
        <f t="shared" si="2"/>
        <v>185.70855734311399</v>
      </c>
      <c r="Q4" s="184">
        <v>186</v>
      </c>
      <c r="R4" s="157">
        <f t="shared" si="3"/>
        <v>0.99843310399523655</v>
      </c>
      <c r="S4" s="183" t="str">
        <f t="shared" si="4"/>
        <v>1 - Péssimo</v>
      </c>
      <c r="T4" s="155">
        <f t="shared" ref="T4:T13" si="10">((Q4-Q3)*1256000)</f>
        <v>76616000</v>
      </c>
      <c r="U4" s="182">
        <f t="shared" si="0"/>
        <v>37.200000000000003</v>
      </c>
      <c r="V4" s="154">
        <f>(U4-U3)*19000+(U4-U3)*100000+U4*82500</f>
        <v>4520800.0000000009</v>
      </c>
      <c r="W4" s="153"/>
      <c r="X4" s="156">
        <f t="shared" si="5"/>
        <v>8.9896697943500001</v>
      </c>
      <c r="Y4" s="150">
        <v>9</v>
      </c>
      <c r="Z4" s="157">
        <f t="shared" ref="Z4:Z13" si="11">((X4*100)/Y4)/100</f>
        <v>0.99885219937222214</v>
      </c>
      <c r="AA4" s="153" t="str">
        <f t="shared" si="6"/>
        <v>1 - Péssimo</v>
      </c>
      <c r="AB4" s="154">
        <f t="shared" si="7"/>
        <v>1350000</v>
      </c>
    </row>
    <row r="5" spans="1:28" s="1" customFormat="1" x14ac:dyDescent="0.25">
      <c r="A5" s="149" t="s">
        <v>63</v>
      </c>
      <c r="B5" s="150">
        <v>210847.30290000001</v>
      </c>
      <c r="C5" s="150">
        <f>B5*dados!$C$12</f>
        <v>75272.487135300005</v>
      </c>
      <c r="D5" s="151">
        <f>C5*dados!$D$4</f>
        <v>87188121.848817989</v>
      </c>
      <c r="E5" s="152">
        <f>C5*dados!$I$4</f>
        <v>172408165.55672196</v>
      </c>
      <c r="F5" s="152">
        <f t="shared" si="1"/>
        <v>5974403.7079039514</v>
      </c>
      <c r="G5" s="153">
        <v>50</v>
      </c>
      <c r="H5" s="150">
        <f t="shared" si="8"/>
        <v>15.054497427060001</v>
      </c>
      <c r="I5" s="150">
        <v>2</v>
      </c>
      <c r="J5" s="154">
        <f t="shared" ref="J4:J13" si="12">(68500*I5)+36540</f>
        <v>173540</v>
      </c>
      <c r="K5" s="155"/>
      <c r="L5" s="156">
        <v>4</v>
      </c>
      <c r="M5" s="154">
        <f t="shared" si="9"/>
        <v>314000</v>
      </c>
      <c r="N5" s="155"/>
      <c r="O5" s="156">
        <v>75272.487135300005</v>
      </c>
      <c r="P5" s="184">
        <f t="shared" si="2"/>
        <v>243.30036081312164</v>
      </c>
      <c r="Q5" s="184">
        <v>243</v>
      </c>
      <c r="R5" s="157">
        <f t="shared" si="3"/>
        <v>1.0012360527288957</v>
      </c>
      <c r="S5" s="183" t="str">
        <f t="shared" si="4"/>
        <v>1 - Péssimo</v>
      </c>
      <c r="T5" s="155">
        <f t="shared" si="10"/>
        <v>71592000</v>
      </c>
      <c r="U5" s="182">
        <f t="shared" si="0"/>
        <v>48.6</v>
      </c>
      <c r="V5" s="154">
        <f t="shared" ref="V5:V13" si="13">(U5-U4)*19000+(U5-U4)*100000+U5*82500</f>
        <v>5366100</v>
      </c>
      <c r="W5" s="153"/>
      <c r="X5" s="156">
        <f t="shared" si="5"/>
        <v>11.77753968825</v>
      </c>
      <c r="Y5" s="150">
        <v>12</v>
      </c>
      <c r="Z5" s="157">
        <f t="shared" si="11"/>
        <v>0.98146164068749997</v>
      </c>
      <c r="AA5" s="153" t="str">
        <f t="shared" si="6"/>
        <v>1 - Péssimo</v>
      </c>
      <c r="AB5" s="154">
        <f t="shared" si="7"/>
        <v>1800000</v>
      </c>
    </row>
    <row r="6" spans="1:28" s="1" customFormat="1" x14ac:dyDescent="0.25">
      <c r="A6" s="149" t="s">
        <v>64</v>
      </c>
      <c r="B6" s="150">
        <v>237007.01790000001</v>
      </c>
      <c r="C6" s="150">
        <f>B6*dados!$C$12</f>
        <v>84611.505390299993</v>
      </c>
      <c r="D6" s="151">
        <f>C6*dados!$D$4</f>
        <v>98005506.693584472</v>
      </c>
      <c r="E6" s="152">
        <f>C6*dados!$I$4</f>
        <v>193798756.81686112</v>
      </c>
      <c r="F6" s="152">
        <f t="shared" si="1"/>
        <v>4786710.1232766509</v>
      </c>
      <c r="G6" s="153">
        <v>50</v>
      </c>
      <c r="H6" s="150">
        <f t="shared" si="8"/>
        <v>16.922301078059999</v>
      </c>
      <c r="I6" s="150">
        <v>2</v>
      </c>
      <c r="J6" s="154">
        <f>(68500*I6)+36540</f>
        <v>173540</v>
      </c>
      <c r="K6" s="155"/>
      <c r="L6" s="156">
        <v>4</v>
      </c>
      <c r="M6" s="154">
        <f t="shared" si="9"/>
        <v>314000</v>
      </c>
      <c r="N6" s="155"/>
      <c r="O6" s="156">
        <v>84611.505390299993</v>
      </c>
      <c r="P6" s="184">
        <f t="shared" si="2"/>
        <v>308.03754932903593</v>
      </c>
      <c r="Q6" s="184">
        <v>308</v>
      </c>
      <c r="R6" s="157">
        <f t="shared" si="3"/>
        <v>1.0001219134059609</v>
      </c>
      <c r="S6" s="183" t="str">
        <f t="shared" si="4"/>
        <v>1 - Péssimo</v>
      </c>
      <c r="T6" s="155">
        <f t="shared" si="10"/>
        <v>81640000</v>
      </c>
      <c r="U6" s="182">
        <f t="shared" si="0"/>
        <v>61.6</v>
      </c>
      <c r="V6" s="154">
        <f t="shared" si="13"/>
        <v>6629000</v>
      </c>
      <c r="W6" s="153"/>
      <c r="X6" s="156">
        <f t="shared" si="5"/>
        <v>14.91129914715</v>
      </c>
      <c r="Y6" s="150">
        <v>15</v>
      </c>
      <c r="Z6" s="157">
        <f t="shared" si="11"/>
        <v>0.99408660980999997</v>
      </c>
      <c r="AA6" s="153" t="str">
        <f t="shared" si="6"/>
        <v>1 - Péssimo</v>
      </c>
      <c r="AB6" s="154">
        <f t="shared" si="7"/>
        <v>2250000</v>
      </c>
    </row>
    <row r="7" spans="1:28" s="1" customFormat="1" x14ac:dyDescent="0.25">
      <c r="A7" s="149" t="s">
        <v>65</v>
      </c>
      <c r="B7" s="150">
        <v>221311.18890000001</v>
      </c>
      <c r="C7" s="150">
        <f>B7*dados!$C$12</f>
        <v>79008.094437299995</v>
      </c>
      <c r="D7" s="151">
        <f>C7*dados!$D$4</f>
        <v>91515075.786724582</v>
      </c>
      <c r="E7" s="152">
        <f>C7*dados!$I$4</f>
        <v>180964402.0607776</v>
      </c>
      <c r="F7" s="152">
        <f t="shared" si="1"/>
        <v>3401786.2740530372</v>
      </c>
      <c r="G7" s="153">
        <v>50</v>
      </c>
      <c r="H7" s="150">
        <f t="shared" si="8"/>
        <v>15.801618887459998</v>
      </c>
      <c r="I7" s="150">
        <v>2</v>
      </c>
      <c r="J7" s="154">
        <f t="shared" si="12"/>
        <v>173540</v>
      </c>
      <c r="K7" s="155"/>
      <c r="L7" s="156">
        <v>4</v>
      </c>
      <c r="M7" s="154">
        <f t="shared" si="9"/>
        <v>314000</v>
      </c>
      <c r="N7" s="155"/>
      <c r="O7" s="156">
        <v>79008.094437299995</v>
      </c>
      <c r="P7" s="184">
        <f t="shared" si="2"/>
        <v>368.48750681740626</v>
      </c>
      <c r="Q7" s="184">
        <v>368</v>
      </c>
      <c r="R7" s="157">
        <f t="shared" si="3"/>
        <v>1.0013247467864301</v>
      </c>
      <c r="S7" s="183" t="str">
        <f t="shared" si="4"/>
        <v>1 - Péssimo</v>
      </c>
      <c r="T7" s="155">
        <f t="shared" si="10"/>
        <v>75360000</v>
      </c>
      <c r="U7" s="182">
        <f t="shared" si="0"/>
        <v>73.599999999999994</v>
      </c>
      <c r="V7" s="154">
        <f t="shared" si="13"/>
        <v>7499999.9999999981</v>
      </c>
      <c r="W7" s="153"/>
      <c r="X7" s="156">
        <f t="shared" si="5"/>
        <v>17.83752486705</v>
      </c>
      <c r="Y7" s="150">
        <v>18</v>
      </c>
      <c r="Z7" s="157">
        <f t="shared" si="11"/>
        <v>0.99097360372499987</v>
      </c>
      <c r="AA7" s="153" t="str">
        <f t="shared" si="6"/>
        <v>1 - Péssimo</v>
      </c>
      <c r="AB7" s="154">
        <f t="shared" si="7"/>
        <v>2700000</v>
      </c>
    </row>
    <row r="8" spans="1:28" s="1" customFormat="1" x14ac:dyDescent="0.25">
      <c r="A8" s="149" t="s">
        <v>66</v>
      </c>
      <c r="B8" s="150">
        <v>210847.30290000001</v>
      </c>
      <c r="C8" s="150">
        <f>B8*dados!$C$12</f>
        <v>75272.487135300005</v>
      </c>
      <c r="D8" s="151">
        <f>C8*dados!$D$4</f>
        <v>87188121.848817989</v>
      </c>
      <c r="E8" s="152">
        <f>C8*dados!$I$4</f>
        <v>172408165.55672196</v>
      </c>
      <c r="F8" s="152">
        <f t="shared" si="1"/>
        <v>325103.70790395141</v>
      </c>
      <c r="G8" s="153">
        <v>50</v>
      </c>
      <c r="H8" s="150">
        <f t="shared" si="8"/>
        <v>15.054497427060001</v>
      </c>
      <c r="I8" s="150">
        <v>2</v>
      </c>
      <c r="J8" s="154">
        <f t="shared" si="12"/>
        <v>173540</v>
      </c>
      <c r="K8" s="155"/>
      <c r="L8" s="156">
        <v>4</v>
      </c>
      <c r="M8" s="154">
        <f t="shared" si="9"/>
        <v>314000</v>
      </c>
      <c r="N8" s="155"/>
      <c r="O8" s="156">
        <v>75272.487135300005</v>
      </c>
      <c r="P8" s="184">
        <f t="shared" si="2"/>
        <v>426.07931028741393</v>
      </c>
      <c r="Q8" s="184">
        <v>426</v>
      </c>
      <c r="R8" s="157">
        <f t="shared" si="3"/>
        <v>1.0001861743836007</v>
      </c>
      <c r="S8" s="183" t="str">
        <f t="shared" si="4"/>
        <v>1 - Péssimo</v>
      </c>
      <c r="T8" s="155">
        <f t="shared" si="10"/>
        <v>72848000</v>
      </c>
      <c r="U8" s="182">
        <f t="shared" si="0"/>
        <v>85.2</v>
      </c>
      <c r="V8" s="154">
        <f t="shared" si="13"/>
        <v>8409400.0000000019</v>
      </c>
      <c r="W8" s="153"/>
      <c r="X8" s="156">
        <f t="shared" si="5"/>
        <v>20.625394760950002</v>
      </c>
      <c r="Y8" s="150">
        <v>21</v>
      </c>
      <c r="Z8" s="157">
        <f t="shared" si="11"/>
        <v>0.98216165528333343</v>
      </c>
      <c r="AA8" s="153" t="str">
        <f t="shared" si="6"/>
        <v>1 - Péssimo</v>
      </c>
      <c r="AB8" s="154">
        <f t="shared" si="7"/>
        <v>3150000</v>
      </c>
    </row>
    <row r="9" spans="1:28" s="1" customFormat="1" x14ac:dyDescent="0.25">
      <c r="A9" s="149" t="s">
        <v>67</v>
      </c>
      <c r="B9" s="150">
        <v>210847.30290000001</v>
      </c>
      <c r="C9" s="150">
        <f>B9*dados!$C$12</f>
        <v>75272.487135300005</v>
      </c>
      <c r="D9" s="151">
        <f>C9*dados!$D$4</f>
        <v>87188121.848817989</v>
      </c>
      <c r="E9" s="152">
        <f>C9*dados!$I$4</f>
        <v>172408165.55672196</v>
      </c>
      <c r="F9" s="152">
        <f t="shared" si="1"/>
        <v>-931896.29209604859</v>
      </c>
      <c r="G9" s="153">
        <v>50</v>
      </c>
      <c r="H9" s="150">
        <f t="shared" si="8"/>
        <v>15.054497427060001</v>
      </c>
      <c r="I9" s="150">
        <v>2</v>
      </c>
      <c r="J9" s="154">
        <f t="shared" si="12"/>
        <v>173540</v>
      </c>
      <c r="K9" s="155"/>
      <c r="L9" s="156">
        <v>4</v>
      </c>
      <c r="M9" s="154">
        <f t="shared" si="9"/>
        <v>314000</v>
      </c>
      <c r="N9" s="155"/>
      <c r="O9" s="156">
        <v>75272.487135300005</v>
      </c>
      <c r="P9" s="184">
        <f t="shared" si="2"/>
        <v>483.67111375742161</v>
      </c>
      <c r="Q9" s="184">
        <v>484</v>
      </c>
      <c r="R9" s="157">
        <f t="shared" si="3"/>
        <v>0.99932048296987941</v>
      </c>
      <c r="S9" s="183" t="str">
        <f t="shared" si="4"/>
        <v>1 - Péssimo</v>
      </c>
      <c r="T9" s="155">
        <f t="shared" si="10"/>
        <v>72848000</v>
      </c>
      <c r="U9" s="182">
        <f t="shared" si="0"/>
        <v>96.8</v>
      </c>
      <c r="V9" s="154">
        <f t="shared" si="13"/>
        <v>9366400</v>
      </c>
      <c r="W9" s="153"/>
      <c r="X9" s="156">
        <f t="shared" si="5"/>
        <v>23.413264654850003</v>
      </c>
      <c r="Y9" s="150">
        <v>23</v>
      </c>
      <c r="Z9" s="157">
        <f>((X9*100)/Y9)/100</f>
        <v>1.0179680284717394</v>
      </c>
      <c r="AA9" s="153" t="str">
        <f t="shared" si="6"/>
        <v>1 - Péssimo</v>
      </c>
      <c r="AB9" s="154">
        <f t="shared" si="7"/>
        <v>3450000</v>
      </c>
    </row>
    <row r="10" spans="1:28" s="1" customFormat="1" x14ac:dyDescent="0.25">
      <c r="A10" s="149" t="s">
        <v>68</v>
      </c>
      <c r="B10" s="150">
        <v>194889.87675</v>
      </c>
      <c r="C10" s="150">
        <f>B10*dados!$C$12</f>
        <v>69575.68599975</v>
      </c>
      <c r="D10" s="151">
        <f>C10*dados!$D$4</f>
        <v>80589517.093510419</v>
      </c>
      <c r="E10" s="152">
        <f>C10*dados!$I$4</f>
        <v>159359904.88803703</v>
      </c>
      <c r="F10" s="152">
        <f>E10-(D10+J10+M10+T10+V10+AB10)</f>
        <v>-2157052.2054733932</v>
      </c>
      <c r="G10" s="153">
        <v>50</v>
      </c>
      <c r="H10" s="150">
        <f t="shared" si="8"/>
        <v>13.915137199949999</v>
      </c>
      <c r="I10" s="150">
        <v>2</v>
      </c>
      <c r="J10" s="154">
        <f t="shared" si="12"/>
        <v>173540</v>
      </c>
      <c r="K10" s="155"/>
      <c r="L10" s="156">
        <v>4</v>
      </c>
      <c r="M10" s="154">
        <f t="shared" si="9"/>
        <v>314000</v>
      </c>
      <c r="N10" s="155"/>
      <c r="O10" s="156">
        <v>69575.68599975</v>
      </c>
      <c r="P10" s="184">
        <f t="shared" si="2"/>
        <v>536.90423234942614</v>
      </c>
      <c r="Q10" s="184">
        <v>537</v>
      </c>
      <c r="R10" s="157">
        <f t="shared" si="3"/>
        <v>0.99982166173077502</v>
      </c>
      <c r="S10" s="183" t="str">
        <f t="shared" si="4"/>
        <v>1 - Péssimo</v>
      </c>
      <c r="T10" s="155">
        <f t="shared" si="10"/>
        <v>66568000</v>
      </c>
      <c r="U10" s="182">
        <f t="shared" si="0"/>
        <v>107.4</v>
      </c>
      <c r="V10" s="154">
        <f t="shared" si="13"/>
        <v>10121900.000000002</v>
      </c>
      <c r="W10" s="153"/>
      <c r="X10" s="156">
        <f t="shared" si="5"/>
        <v>25.990141914100004</v>
      </c>
      <c r="Y10" s="150">
        <v>25</v>
      </c>
      <c r="Z10" s="157">
        <f t="shared" si="11"/>
        <v>1.0396056765640003</v>
      </c>
      <c r="AA10" s="153" t="str">
        <f t="shared" si="6"/>
        <v>1 - Péssimo</v>
      </c>
      <c r="AB10" s="154">
        <f t="shared" si="7"/>
        <v>3750000</v>
      </c>
    </row>
    <row r="11" spans="1:28" s="1" customFormat="1" x14ac:dyDescent="0.25">
      <c r="A11" s="149" t="s">
        <v>69</v>
      </c>
      <c r="B11" s="150">
        <v>158004.67859999998</v>
      </c>
      <c r="C11" s="150">
        <f>B11*dados!$C$12</f>
        <v>56407.670260199993</v>
      </c>
      <c r="D11" s="151">
        <f>C11*dados!$D$4</f>
        <v>65337004.462389648</v>
      </c>
      <c r="E11" s="152">
        <f>C11*dados!$I$4</f>
        <v>129199171.21124074</v>
      </c>
      <c r="F11" s="152">
        <f t="shared" si="1"/>
        <v>-5426773.2511489093</v>
      </c>
      <c r="G11" s="153">
        <v>50</v>
      </c>
      <c r="H11" s="150">
        <f t="shared" si="8"/>
        <v>11.281534052039998</v>
      </c>
      <c r="I11" s="150">
        <v>2</v>
      </c>
      <c r="J11" s="154">
        <f t="shared" si="12"/>
        <v>173540</v>
      </c>
      <c r="K11" s="155"/>
      <c r="L11" s="156">
        <v>4</v>
      </c>
      <c r="M11" s="154">
        <f t="shared" si="9"/>
        <v>314000</v>
      </c>
      <c r="N11" s="155"/>
      <c r="O11" s="156">
        <v>56407.670260199993</v>
      </c>
      <c r="P11" s="184">
        <f t="shared" si="2"/>
        <v>580.06235802670233</v>
      </c>
      <c r="Q11" s="184">
        <v>580</v>
      </c>
      <c r="R11" s="157">
        <f t="shared" si="3"/>
        <v>1.000107513839142</v>
      </c>
      <c r="S11" s="183" t="str">
        <f t="shared" si="4"/>
        <v>1 - Péssimo</v>
      </c>
      <c r="T11" s="155">
        <f t="shared" si="10"/>
        <v>54008000</v>
      </c>
      <c r="U11" s="182">
        <f t="shared" si="0"/>
        <v>116</v>
      </c>
      <c r="V11" s="154">
        <f t="shared" si="13"/>
        <v>10593400</v>
      </c>
      <c r="W11" s="153"/>
      <c r="X11" s="156">
        <f t="shared" si="5"/>
        <v>28.079314886700004</v>
      </c>
      <c r="Y11" s="150">
        <v>28</v>
      </c>
      <c r="Z11" s="157">
        <f t="shared" si="11"/>
        <v>1.002832674525</v>
      </c>
      <c r="AA11" s="153" t="str">
        <f t="shared" si="6"/>
        <v>1 - Péssimo</v>
      </c>
      <c r="AB11" s="154">
        <f t="shared" si="7"/>
        <v>4200000</v>
      </c>
    </row>
    <row r="12" spans="1:28" s="1" customFormat="1" x14ac:dyDescent="0.25">
      <c r="A12" s="149" t="s">
        <v>70</v>
      </c>
      <c r="B12" s="150">
        <v>276508.18754999997</v>
      </c>
      <c r="C12" s="150">
        <f>B12*dados!$C$12</f>
        <v>98713.42295534999</v>
      </c>
      <c r="D12" s="151">
        <f>C12*dados!$D$4</f>
        <v>114339757.80918188</v>
      </c>
      <c r="E12" s="152">
        <f>C12*dados!$I$4</f>
        <v>226098549.61967131</v>
      </c>
      <c r="F12" s="152">
        <f t="shared" si="1"/>
        <v>-1617548.1895105541</v>
      </c>
      <c r="G12" s="153">
        <v>75</v>
      </c>
      <c r="H12" s="150">
        <f t="shared" si="8"/>
        <v>19.742684591069999</v>
      </c>
      <c r="I12" s="150">
        <v>2</v>
      </c>
      <c r="J12" s="154">
        <f t="shared" si="12"/>
        <v>173540</v>
      </c>
      <c r="K12" s="155"/>
      <c r="L12" s="156">
        <v>4</v>
      </c>
      <c r="M12" s="154">
        <f t="shared" si="9"/>
        <v>314000</v>
      </c>
      <c r="N12" s="155"/>
      <c r="O12" s="156">
        <v>98713.42295534999</v>
      </c>
      <c r="P12" s="184">
        <f t="shared" si="2"/>
        <v>655.58907796193569</v>
      </c>
      <c r="Q12" s="184">
        <v>656</v>
      </c>
      <c r="R12" s="157">
        <f t="shared" si="3"/>
        <v>0.99937359445417029</v>
      </c>
      <c r="S12" s="183" t="str">
        <f t="shared" si="4"/>
        <v>1 - Péssimo</v>
      </c>
      <c r="T12" s="155">
        <f>((Q12-Q11)*1256000)</f>
        <v>95456000</v>
      </c>
      <c r="U12" s="182">
        <f t="shared" si="0"/>
        <v>131.19999999999999</v>
      </c>
      <c r="V12" s="154">
        <f t="shared" si="13"/>
        <v>12632799.999999996</v>
      </c>
      <c r="W12" s="153"/>
      <c r="X12" s="156">
        <f t="shared" si="5"/>
        <v>31.735367588750005</v>
      </c>
      <c r="Y12" s="150">
        <v>32</v>
      </c>
      <c r="Z12" s="157">
        <f t="shared" si="11"/>
        <v>0.99173023714843767</v>
      </c>
      <c r="AA12" s="153" t="str">
        <f t="shared" si="6"/>
        <v>1 - Péssimo</v>
      </c>
      <c r="AB12" s="154">
        <f t="shared" si="7"/>
        <v>4800000</v>
      </c>
    </row>
    <row r="13" spans="1:28" s="1" customFormat="1" x14ac:dyDescent="0.25">
      <c r="A13" s="149" t="s">
        <v>71</v>
      </c>
      <c r="B13" s="150">
        <v>216079.24589999998</v>
      </c>
      <c r="C13" s="150">
        <f>B13*dados!$C$12</f>
        <v>77140.290786299985</v>
      </c>
      <c r="D13" s="151">
        <f>C13*dados!$D$4</f>
        <v>89351598.817771271</v>
      </c>
      <c r="E13" s="152">
        <f>C13*dados!$I$4</f>
        <v>176686283.80874974</v>
      </c>
      <c r="F13" s="152">
        <f t="shared" si="1"/>
        <v>-5551555.0090215206</v>
      </c>
      <c r="G13" s="153">
        <v>75</v>
      </c>
      <c r="H13" s="150">
        <f t="shared" si="8"/>
        <v>15.428058157259997</v>
      </c>
      <c r="I13" s="150">
        <v>2</v>
      </c>
      <c r="J13" s="154">
        <f t="shared" si="12"/>
        <v>173540</v>
      </c>
      <c r="K13" s="155"/>
      <c r="L13" s="156">
        <v>4</v>
      </c>
      <c r="M13" s="154">
        <f>78500*2</f>
        <v>157000</v>
      </c>
      <c r="N13" s="155"/>
      <c r="O13" s="156">
        <v>77140.290786299985</v>
      </c>
      <c r="P13" s="184">
        <f t="shared" si="2"/>
        <v>714.60995844112472</v>
      </c>
      <c r="Q13" s="184">
        <v>715</v>
      </c>
      <c r="R13" s="157">
        <f t="shared" si="3"/>
        <v>0.99945448733024445</v>
      </c>
      <c r="S13" s="183" t="str">
        <f>IF(R13&lt;0.5,"5 - Excelente",IF(AND(R13&gt;=0.5001,R13&lt;=0.6),"4 - Bom",IF(AND(R13&gt;0.6001,R13&lt;=0.75),"3 - Regular",IF(AND(R13&gt;0.7501,R13&lt;=0.85),"2 - Ruim",IF(R13&gt;0.8501,"1 - Péssimo")))))</f>
        <v>1 - Péssimo</v>
      </c>
      <c r="T13" s="155">
        <f>((Q13-Q12)*1256000)</f>
        <v>74104000</v>
      </c>
      <c r="U13" s="182">
        <f>Q13/5</f>
        <v>143</v>
      </c>
      <c r="V13" s="154">
        <f t="shared" si="13"/>
        <v>13201700.000000002</v>
      </c>
      <c r="W13" s="153"/>
      <c r="X13" s="156">
        <f t="shared" si="5"/>
        <v>34.592415395650008</v>
      </c>
      <c r="Y13" s="150">
        <v>35</v>
      </c>
      <c r="Z13" s="157">
        <f t="shared" si="11"/>
        <v>0.98835472559000026</v>
      </c>
      <c r="AA13" s="153" t="str">
        <f t="shared" si="6"/>
        <v>1 - Péssimo</v>
      </c>
      <c r="AB13" s="154">
        <f t="shared" si="7"/>
        <v>5250000</v>
      </c>
    </row>
    <row r="14" spans="1:28" s="1" customFormat="1" ht="15.75" thickBot="1" x14ac:dyDescent="0.3">
      <c r="A14" s="158"/>
      <c r="B14" s="159" t="s">
        <v>72</v>
      </c>
      <c r="C14" s="159"/>
      <c r="D14" s="160">
        <f>SUM(D2:D13)</f>
        <v>1081846658.3250973</v>
      </c>
      <c r="E14" s="160">
        <f>SUM(E2:E13)</f>
        <v>2139273031.9265211</v>
      </c>
      <c r="F14" s="160">
        <f>SUM(F2:F13)</f>
        <v>23494393.601423591</v>
      </c>
      <c r="G14" s="159"/>
      <c r="H14" s="159"/>
      <c r="I14" s="159" t="s">
        <v>73</v>
      </c>
      <c r="J14" s="161">
        <f>SUM(J2:J13)</f>
        <v>3322480</v>
      </c>
      <c r="K14" s="162"/>
      <c r="L14" s="158" t="s">
        <v>73</v>
      </c>
      <c r="M14" s="161">
        <f>SUM(M2:M13)</f>
        <v>4035000</v>
      </c>
      <c r="N14" s="162"/>
      <c r="O14" s="158"/>
      <c r="P14" s="159"/>
      <c r="Q14" s="159"/>
      <c r="R14" s="159"/>
      <c r="S14" s="159" t="s">
        <v>73</v>
      </c>
      <c r="T14" s="163">
        <f>SUM(T2:T13)</f>
        <v>898040000</v>
      </c>
      <c r="U14" s="159" t="s">
        <v>72</v>
      </c>
      <c r="V14" s="161">
        <f>SUM(V2:V13)</f>
        <v>94484500</v>
      </c>
      <c r="W14" s="153"/>
      <c r="X14" s="158"/>
      <c r="Y14" s="159"/>
      <c r="Z14" s="159"/>
      <c r="AA14" s="159" t="s">
        <v>73</v>
      </c>
      <c r="AB14" s="161">
        <f>SUM(AB2:AB13)</f>
        <v>34050000</v>
      </c>
    </row>
    <row r="15" spans="1:28" s="1" customFormat="1" x14ac:dyDescent="0.25">
      <c r="J15" s="181"/>
      <c r="M15" s="181"/>
    </row>
    <row r="16" spans="1:28" x14ac:dyDescent="0.25">
      <c r="M16" s="181"/>
      <c r="O16" s="5"/>
    </row>
    <row r="17" spans="13:13" x14ac:dyDescent="0.25">
      <c r="M17" s="181"/>
    </row>
    <row r="18" spans="13:13" x14ac:dyDescent="0.25">
      <c r="M18" s="181"/>
    </row>
    <row r="19" spans="13:13" x14ac:dyDescent="0.25">
      <c r="M19" s="181"/>
    </row>
    <row r="20" spans="13:13" x14ac:dyDescent="0.25">
      <c r="M20" s="181"/>
    </row>
    <row r="21" spans="13:13" x14ac:dyDescent="0.25">
      <c r="M21" s="181"/>
    </row>
    <row r="22" spans="13:13" x14ac:dyDescent="0.25">
      <c r="M22" s="181"/>
    </row>
    <row r="23" spans="13:13" x14ac:dyDescent="0.25">
      <c r="M23" s="181"/>
    </row>
    <row r="24" spans="13:13" x14ac:dyDescent="0.25">
      <c r="M24" s="181"/>
    </row>
    <row r="25" spans="13:13" x14ac:dyDescent="0.25">
      <c r="M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AB934-FFCD-4C3A-B70B-0F71098DC2F5}">
  <sheetPr codeName="Planilha12"/>
  <dimension ref="A1:AB25"/>
  <sheetViews>
    <sheetView zoomScale="80" zoomScaleNormal="80" workbookViewId="0">
      <selection activeCell="F15" sqref="F15"/>
    </sheetView>
  </sheetViews>
  <sheetFormatPr defaultRowHeight="15" x14ac:dyDescent="0.25"/>
  <cols>
    <col min="1" max="1" width="14.42578125" bestFit="1" customWidth="1"/>
    <col min="2" max="3" width="14.42578125" customWidth="1"/>
    <col min="4" max="4" width="19.5703125" customWidth="1"/>
    <col min="5" max="6" width="19.85546875" customWidth="1"/>
    <col min="7" max="7" width="14.42578125" customWidth="1"/>
    <col min="8" max="9" width="18.7109375" customWidth="1"/>
    <col min="10" max="10" width="18.42578125" customWidth="1"/>
    <col min="11" max="11" width="1.7109375" customWidth="1"/>
    <col min="12" max="12" width="18.7109375" customWidth="1"/>
    <col min="13" max="13" width="17.7109375" customWidth="1"/>
    <col min="14" max="14" width="1.7109375" customWidth="1"/>
    <col min="15" max="15" width="20.7109375" customWidth="1"/>
    <col min="16" max="20" width="22.28515625" customWidth="1"/>
    <col min="21" max="21" width="19.28515625" customWidth="1"/>
    <col min="22" max="22" width="21.28515625" customWidth="1"/>
    <col min="23" max="23" width="1.7109375" customWidth="1"/>
    <col min="24" max="24" width="14.5703125" customWidth="1"/>
    <col min="25" max="25" width="17.7109375" customWidth="1"/>
    <col min="26" max="26" width="20" customWidth="1"/>
    <col min="27" max="27" width="17.7109375" customWidth="1"/>
    <col min="28" max="28" width="20.5703125" customWidth="1"/>
  </cols>
  <sheetData>
    <row r="1" spans="1:28" s="1" customFormat="1" ht="45" x14ac:dyDescent="0.25">
      <c r="A1" s="142" t="s">
        <v>38</v>
      </c>
      <c r="B1" s="143" t="s">
        <v>39</v>
      </c>
      <c r="C1" s="143" t="s">
        <v>190</v>
      </c>
      <c r="D1" s="143" t="s">
        <v>40</v>
      </c>
      <c r="E1" s="144" t="s">
        <v>41</v>
      </c>
      <c r="F1" s="144" t="s">
        <v>42</v>
      </c>
      <c r="G1" s="143" t="s">
        <v>43</v>
      </c>
      <c r="H1" s="143" t="s">
        <v>44</v>
      </c>
      <c r="I1" s="143" t="s">
        <v>45</v>
      </c>
      <c r="J1" s="145" t="s">
        <v>46</v>
      </c>
      <c r="K1" s="146"/>
      <c r="L1" s="147" t="s">
        <v>47</v>
      </c>
      <c r="M1" s="145" t="s">
        <v>48</v>
      </c>
      <c r="N1" s="146"/>
      <c r="O1" s="147" t="s">
        <v>49</v>
      </c>
      <c r="P1" s="143" t="s">
        <v>50</v>
      </c>
      <c r="Q1" s="143" t="s">
        <v>51</v>
      </c>
      <c r="R1" s="143" t="s">
        <v>52</v>
      </c>
      <c r="S1" s="143" t="s">
        <v>53</v>
      </c>
      <c r="T1" s="148" t="s">
        <v>54</v>
      </c>
      <c r="U1" s="143" t="s">
        <v>55</v>
      </c>
      <c r="V1" s="145" t="s">
        <v>189</v>
      </c>
      <c r="W1" s="146"/>
      <c r="X1" s="147" t="s">
        <v>56</v>
      </c>
      <c r="Y1" s="143" t="s">
        <v>57</v>
      </c>
      <c r="Z1" s="143" t="s">
        <v>52</v>
      </c>
      <c r="AA1" s="143" t="s">
        <v>58</v>
      </c>
      <c r="AB1" s="145" t="s">
        <v>59</v>
      </c>
    </row>
    <row r="2" spans="1:28" s="1" customFormat="1" x14ac:dyDescent="0.25">
      <c r="A2" s="149" t="s">
        <v>60</v>
      </c>
      <c r="B2" s="150">
        <v>245116.52955000001</v>
      </c>
      <c r="C2" s="150">
        <f>B2*dados!$C$13</f>
        <v>87016.367990250001</v>
      </c>
      <c r="D2" s="151">
        <f>C2*dados!$D$5</f>
        <v>55571959.220557272</v>
      </c>
      <c r="E2" s="152">
        <f>C2*dados!$I$5</f>
        <v>153107779.75972483</v>
      </c>
      <c r="F2" s="152">
        <f>E2-(D2+J2+M2+T2+V2+AB2)</f>
        <v>8082180.5391675532</v>
      </c>
      <c r="G2" s="153">
        <v>50</v>
      </c>
      <c r="H2" s="150">
        <f>C2/5000</f>
        <v>17.403273598049999</v>
      </c>
      <c r="I2" s="150">
        <v>2</v>
      </c>
      <c r="J2" s="154">
        <f>(15000*2)+(80000*2)+(68500*2)+1050000+36540</f>
        <v>1413540</v>
      </c>
      <c r="K2" s="155"/>
      <c r="L2" s="156">
        <v>4</v>
      </c>
      <c r="M2" s="154">
        <f>(16000*L2)+(90000*L2)+(78500*L2)</f>
        <v>738000</v>
      </c>
      <c r="N2" s="155"/>
      <c r="O2" s="156">
        <v>87016.367990250001</v>
      </c>
      <c r="P2" s="184">
        <f>O2/1307</f>
        <v>66.577175202945682</v>
      </c>
      <c r="Q2" s="184">
        <v>67</v>
      </c>
      <c r="R2" s="157">
        <f>((P2*100)/Q2)/100</f>
        <v>0.99368918213351765</v>
      </c>
      <c r="S2" s="183" t="str">
        <f>IF(R2&lt;0.5,"5 - Excelente",IF(AND(R2&gt;=0.5001,R2&lt;=0.6),"4 - Bom",IF(AND(R2&gt;0.6001,R2&lt;=0.75),"3 - Regular",IF(AND(R2&gt;0.7501,R2&lt;=0.85),"2 - Ruim",IF(R2&gt;0.8501,"1 - Péssimo")))))</f>
        <v>1 - Péssimo</v>
      </c>
      <c r="T2" s="155">
        <f>(Q2*1256000)</f>
        <v>84152000</v>
      </c>
      <c r="U2" s="182">
        <f t="shared" ref="U2:U13" si="0">Q2/5</f>
        <v>13.4</v>
      </c>
      <c r="V2" s="154">
        <f>U2*19000+U2*100000+U2*82500</f>
        <v>2700100</v>
      </c>
      <c r="W2" s="153"/>
      <c r="X2" s="156">
        <f>O2/27000</f>
        <v>3.2228284440833335</v>
      </c>
      <c r="Y2" s="150">
        <v>3</v>
      </c>
      <c r="Z2" s="157">
        <f>((X2*100)/Y2)/100</f>
        <v>1.0742761480277778</v>
      </c>
      <c r="AA2" s="153" t="str">
        <f>IF(Z2&lt;0.5,"5 - Excelente",IF(AND(Z2&gt;=0.5001,Z2&lt;=0.6),"4 - Bom",IF(AND(Z2&gt;0.6001,Z2&lt;=0.75),"3 - Regular",IF(AND(Z2&gt;0.7501,Z2&lt;=0.85),"2 - Ruim",IF(Z2&gt;0.8501,"1 - Péssimo")))))</f>
        <v>1 - Péssimo</v>
      </c>
      <c r="AB2" s="154">
        <f>150000*Y2</f>
        <v>450000</v>
      </c>
    </row>
    <row r="3" spans="1:28" s="1" customFormat="1" x14ac:dyDescent="0.25">
      <c r="A3" s="149" t="s">
        <v>61</v>
      </c>
      <c r="B3" s="150">
        <v>210847.30290000001</v>
      </c>
      <c r="C3" s="150">
        <f>B3*dados!$C$13</f>
        <v>74850.792529500002</v>
      </c>
      <c r="D3" s="151">
        <f>C3*dados!$D$5</f>
        <v>47802560.439454816</v>
      </c>
      <c r="E3" s="152">
        <f>C3*dados!$I$5</f>
        <v>131702102.97368005</v>
      </c>
      <c r="F3" s="152">
        <f t="shared" ref="F3:F13" si="1">E3-(D3+J3+M3+T3+V3+AB3)</f>
        <v>6221102.5342252254</v>
      </c>
      <c r="G3" s="153">
        <v>50</v>
      </c>
      <c r="H3" s="150">
        <f>C3/5000</f>
        <v>14.970158505900001</v>
      </c>
      <c r="I3" s="150">
        <v>2</v>
      </c>
      <c r="J3" s="154">
        <f>(68500*I3)+36540</f>
        <v>173540</v>
      </c>
      <c r="K3" s="155"/>
      <c r="L3" s="156">
        <v>4</v>
      </c>
      <c r="M3" s="154">
        <f>78500*L3</f>
        <v>314000</v>
      </c>
      <c r="N3" s="155"/>
      <c r="O3" s="156">
        <v>74850.792529500002</v>
      </c>
      <c r="P3" s="184">
        <f t="shared" ref="P3:P13" si="2">O3/1307+P2</f>
        <v>123.84633551625862</v>
      </c>
      <c r="Q3" s="184">
        <v>125</v>
      </c>
      <c r="R3" s="157">
        <f t="shared" ref="R3:R13" si="3">((P3*100)/Q3)/100</f>
        <v>0.99077068413006897</v>
      </c>
      <c r="S3" s="183" t="str">
        <f t="shared" ref="S3:S12" si="4">IF(R3&lt;0.5,"5 - Excelente",IF(AND(R3&gt;=0.5001,R3&lt;=0.6),"4 - Bom",IF(AND(R3&gt;0.6001,R3&lt;=0.75),"3 - Regular",IF(AND(R3&gt;0.7501,R3&lt;=0.85),"2 - Ruim",IF(R3&gt;0.8501,"1 - Péssimo")))))</f>
        <v>1 - Péssimo</v>
      </c>
      <c r="T3" s="155">
        <f>((Q3-Q2)*1256000)</f>
        <v>72848000</v>
      </c>
      <c r="U3" s="182">
        <f>(Q3/5)</f>
        <v>25</v>
      </c>
      <c r="V3" s="154">
        <f>(U3-U2)*19000+(U3-U2)*100000+U3*82500</f>
        <v>3442900</v>
      </c>
      <c r="W3" s="153"/>
      <c r="X3" s="156">
        <f t="shared" ref="X3:X13" si="5">O3/27000+X2</f>
        <v>5.9950800192500004</v>
      </c>
      <c r="Y3" s="150">
        <v>6</v>
      </c>
      <c r="Z3" s="157">
        <f>((X3*100)/Y3)/100</f>
        <v>0.99918000320833344</v>
      </c>
      <c r="AA3" s="153" t="str">
        <f t="shared" ref="AA3:AA13" si="6">IF(Z3&lt;0.5,"5 - Excelente",IF(AND(Z3&gt;=0.5001,Z3&lt;=0.6),"4 - Bom",IF(AND(Z3&gt;0.6001,Z3&lt;=0.75),"3 - Regular",IF(AND(Z3&gt;0.7501,Z3&lt;=0.85),"2 - Ruim",IF(Z3&gt;0.8501,"1 - Péssimo")))))</f>
        <v>1 - Péssimo</v>
      </c>
      <c r="AB3" s="154">
        <f t="shared" ref="AB3:AB13" si="7">150000*Y3</f>
        <v>900000</v>
      </c>
    </row>
    <row r="4" spans="1:28" s="1" customFormat="1" x14ac:dyDescent="0.25">
      <c r="A4" s="149" t="s">
        <v>62</v>
      </c>
      <c r="B4" s="150">
        <v>223927.16040000002</v>
      </c>
      <c r="C4" s="150">
        <f>B4*dados!$C$13</f>
        <v>79494.141942000002</v>
      </c>
      <c r="D4" s="151">
        <f>C4*dados!$D$5</f>
        <v>50767979.821554989</v>
      </c>
      <c r="E4" s="152">
        <f>C4*dados!$I$5</f>
        <v>139872208.6172086</v>
      </c>
      <c r="F4" s="152">
        <f t="shared" si="1"/>
        <v>6129888.7956536114</v>
      </c>
      <c r="G4" s="153">
        <v>50</v>
      </c>
      <c r="H4" s="150">
        <f t="shared" ref="H4:H14" si="8">C4/5000</f>
        <v>15.8988283884</v>
      </c>
      <c r="I4" s="150">
        <v>2</v>
      </c>
      <c r="J4" s="154">
        <f>(68500*I4)+36540</f>
        <v>173540</v>
      </c>
      <c r="K4" s="155"/>
      <c r="L4" s="156">
        <v>4</v>
      </c>
      <c r="M4" s="154">
        <f t="shared" ref="M4:M12" si="9">78500*L4</f>
        <v>314000</v>
      </c>
      <c r="N4" s="155"/>
      <c r="O4" s="156">
        <v>79494.141942000002</v>
      </c>
      <c r="P4" s="184">
        <f t="shared" si="2"/>
        <v>184.66817326836269</v>
      </c>
      <c r="Q4" s="184">
        <v>186</v>
      </c>
      <c r="R4" s="157">
        <f t="shared" si="3"/>
        <v>0.99283964122775648</v>
      </c>
      <c r="S4" s="183" t="str">
        <f t="shared" si="4"/>
        <v>1 - Péssimo</v>
      </c>
      <c r="T4" s="155">
        <f t="shared" ref="T4:T13" si="10">((Q4-Q3)*1256000)</f>
        <v>76616000</v>
      </c>
      <c r="U4" s="182">
        <f t="shared" si="0"/>
        <v>37.200000000000003</v>
      </c>
      <c r="V4" s="154">
        <f>(U4-U3)*19000+(U4-U3)*100000+U4*82500</f>
        <v>4520800.0000000009</v>
      </c>
      <c r="W4" s="153"/>
      <c r="X4" s="156">
        <f t="shared" si="5"/>
        <v>8.9393074985833341</v>
      </c>
      <c r="Y4" s="150">
        <v>9</v>
      </c>
      <c r="Z4" s="157">
        <f t="shared" ref="Z4:Z13" si="11">((X4*100)/Y4)/100</f>
        <v>0.9932563887314817</v>
      </c>
      <c r="AA4" s="153" t="str">
        <f t="shared" si="6"/>
        <v>1 - Péssimo</v>
      </c>
      <c r="AB4" s="154">
        <f t="shared" si="7"/>
        <v>1350000</v>
      </c>
    </row>
    <row r="5" spans="1:28" s="1" customFormat="1" x14ac:dyDescent="0.25">
      <c r="A5" s="149" t="s">
        <v>63</v>
      </c>
      <c r="B5" s="150">
        <v>210847.30290000001</v>
      </c>
      <c r="C5" s="150">
        <f>B5*dados!$C$13</f>
        <v>74850.792529500002</v>
      </c>
      <c r="D5" s="151">
        <f>C5*dados!$D$5</f>
        <v>47802560.439454816</v>
      </c>
      <c r="E5" s="152">
        <f>C5*dados!$I$5</f>
        <v>131702102.97368005</v>
      </c>
      <c r="F5" s="152">
        <f t="shared" si="1"/>
        <v>4653902.5342252254</v>
      </c>
      <c r="G5" s="153">
        <v>50</v>
      </c>
      <c r="H5" s="150">
        <f t="shared" si="8"/>
        <v>14.970158505900001</v>
      </c>
      <c r="I5" s="150">
        <v>2</v>
      </c>
      <c r="J5" s="154">
        <f t="shared" ref="J5:J13" si="12">(68500*I5)+36540</f>
        <v>173540</v>
      </c>
      <c r="K5" s="155"/>
      <c r="L5" s="156">
        <v>4</v>
      </c>
      <c r="M5" s="154">
        <f t="shared" si="9"/>
        <v>314000</v>
      </c>
      <c r="N5" s="155"/>
      <c r="O5" s="156">
        <v>74850.792529500002</v>
      </c>
      <c r="P5" s="184">
        <f t="shared" si="2"/>
        <v>241.93733358167563</v>
      </c>
      <c r="Q5" s="184">
        <v>243</v>
      </c>
      <c r="R5" s="157">
        <f t="shared" si="3"/>
        <v>0.99562688716738945</v>
      </c>
      <c r="S5" s="183" t="str">
        <f t="shared" si="4"/>
        <v>1 - Péssimo</v>
      </c>
      <c r="T5" s="155">
        <f t="shared" si="10"/>
        <v>71592000</v>
      </c>
      <c r="U5" s="182">
        <f t="shared" si="0"/>
        <v>48.6</v>
      </c>
      <c r="V5" s="154">
        <f t="shared" ref="V5:V13" si="13">(U5-U4)*19000+(U5-U4)*100000+U5*82500</f>
        <v>5366100</v>
      </c>
      <c r="W5" s="153"/>
      <c r="X5" s="156">
        <f t="shared" si="5"/>
        <v>11.711559073750001</v>
      </c>
      <c r="Y5" s="150">
        <v>12</v>
      </c>
      <c r="Z5" s="157">
        <f t="shared" si="11"/>
        <v>0.97596325614583346</v>
      </c>
      <c r="AA5" s="153" t="str">
        <f t="shared" si="6"/>
        <v>1 - Péssimo</v>
      </c>
      <c r="AB5" s="154">
        <f t="shared" si="7"/>
        <v>1800000</v>
      </c>
    </row>
    <row r="6" spans="1:28" s="1" customFormat="1" x14ac:dyDescent="0.25">
      <c r="A6" s="149" t="s">
        <v>64</v>
      </c>
      <c r="B6" s="150">
        <v>237007.01790000001</v>
      </c>
      <c r="C6" s="150">
        <f>B6*dados!$C$13</f>
        <v>84137.491354500002</v>
      </c>
      <c r="D6" s="151">
        <f>C6*dados!$D$5</f>
        <v>53733399.203655168</v>
      </c>
      <c r="E6" s="152">
        <f>C6*dados!$I$5</f>
        <v>148042314.26073712</v>
      </c>
      <c r="F6" s="152">
        <f t="shared" si="1"/>
        <v>3302375.0570819378</v>
      </c>
      <c r="G6" s="153">
        <v>50</v>
      </c>
      <c r="H6" s="150">
        <f t="shared" si="8"/>
        <v>16.827498270900001</v>
      </c>
      <c r="I6" s="150">
        <v>2</v>
      </c>
      <c r="J6" s="154">
        <f>(68500*I6)+36540</f>
        <v>173540</v>
      </c>
      <c r="K6" s="155"/>
      <c r="L6" s="156">
        <v>4</v>
      </c>
      <c r="M6" s="154">
        <f t="shared" si="9"/>
        <v>314000</v>
      </c>
      <c r="N6" s="155"/>
      <c r="O6" s="156">
        <v>84137.491354500002</v>
      </c>
      <c r="P6" s="184">
        <f t="shared" si="2"/>
        <v>306.31184877257078</v>
      </c>
      <c r="Q6" s="184">
        <v>308</v>
      </c>
      <c r="R6" s="157">
        <f t="shared" si="3"/>
        <v>0.99451898952133366</v>
      </c>
      <c r="S6" s="183" t="str">
        <f t="shared" si="4"/>
        <v>1 - Péssimo</v>
      </c>
      <c r="T6" s="155">
        <f t="shared" si="10"/>
        <v>81640000</v>
      </c>
      <c r="U6" s="182">
        <f t="shared" si="0"/>
        <v>61.6</v>
      </c>
      <c r="V6" s="154">
        <f t="shared" si="13"/>
        <v>6629000</v>
      </c>
      <c r="W6" s="153"/>
      <c r="X6" s="156">
        <f t="shared" si="5"/>
        <v>14.827762457250001</v>
      </c>
      <c r="Y6" s="150">
        <v>15</v>
      </c>
      <c r="Z6" s="157">
        <f t="shared" si="11"/>
        <v>0.98851749715000015</v>
      </c>
      <c r="AA6" s="153" t="str">
        <f t="shared" si="6"/>
        <v>1 - Péssimo</v>
      </c>
      <c r="AB6" s="154">
        <f t="shared" si="7"/>
        <v>2250000</v>
      </c>
    </row>
    <row r="7" spans="1:28" s="1" customFormat="1" x14ac:dyDescent="0.25">
      <c r="A7" s="149" t="s">
        <v>65</v>
      </c>
      <c r="B7" s="150">
        <v>221311.18890000001</v>
      </c>
      <c r="C7" s="150">
        <f>B7*dados!$C$13</f>
        <v>78565.472059499996</v>
      </c>
      <c r="D7" s="151">
        <f>C7*dados!$D$5</f>
        <v>50174895.945134953</v>
      </c>
      <c r="E7" s="152">
        <f>C7*dados!$I$5</f>
        <v>138238187.48850286</v>
      </c>
      <c r="F7" s="152">
        <f t="shared" si="1"/>
        <v>2015751.5433679223</v>
      </c>
      <c r="G7" s="153">
        <v>50</v>
      </c>
      <c r="H7" s="150">
        <f t="shared" si="8"/>
        <v>15.713094411899998</v>
      </c>
      <c r="I7" s="150">
        <v>2</v>
      </c>
      <c r="J7" s="154">
        <f t="shared" si="12"/>
        <v>173540</v>
      </c>
      <c r="K7" s="155"/>
      <c r="L7" s="156">
        <v>4</v>
      </c>
      <c r="M7" s="154">
        <f t="shared" si="9"/>
        <v>314000</v>
      </c>
      <c r="N7" s="155"/>
      <c r="O7" s="156">
        <v>78565.472059499996</v>
      </c>
      <c r="P7" s="184">
        <f t="shared" si="2"/>
        <v>366.42315103691664</v>
      </c>
      <c r="Q7" s="184">
        <v>368</v>
      </c>
      <c r="R7" s="157">
        <f t="shared" si="3"/>
        <v>0.99571508433944733</v>
      </c>
      <c r="S7" s="183" t="str">
        <f t="shared" si="4"/>
        <v>1 - Péssimo</v>
      </c>
      <c r="T7" s="155">
        <f t="shared" si="10"/>
        <v>75360000</v>
      </c>
      <c r="U7" s="182">
        <f t="shared" si="0"/>
        <v>73.599999999999994</v>
      </c>
      <c r="V7" s="154">
        <f t="shared" si="13"/>
        <v>7499999.9999999981</v>
      </c>
      <c r="W7" s="153"/>
      <c r="X7" s="156">
        <f t="shared" si="5"/>
        <v>17.737594755750003</v>
      </c>
      <c r="Y7" s="150">
        <v>18</v>
      </c>
      <c r="Z7" s="157">
        <f t="shared" si="11"/>
        <v>0.9854219308750003</v>
      </c>
      <c r="AA7" s="153" t="str">
        <f t="shared" si="6"/>
        <v>1 - Péssimo</v>
      </c>
      <c r="AB7" s="154">
        <f t="shared" si="7"/>
        <v>2700000</v>
      </c>
    </row>
    <row r="8" spans="1:28" s="1" customFormat="1" x14ac:dyDescent="0.25">
      <c r="A8" s="149" t="s">
        <v>66</v>
      </c>
      <c r="B8" s="150">
        <v>210847.30290000001</v>
      </c>
      <c r="C8" s="150">
        <f>B8*dados!$C$13</f>
        <v>74850.792529500002</v>
      </c>
      <c r="D8" s="151">
        <f>C8*dados!$D$5</f>
        <v>47802560.439454816</v>
      </c>
      <c r="E8" s="152">
        <f>C8*dados!$I$5</f>
        <v>131702102.97368005</v>
      </c>
      <c r="F8" s="152">
        <f t="shared" si="1"/>
        <v>-995397.46577477455</v>
      </c>
      <c r="G8" s="153">
        <v>50</v>
      </c>
      <c r="H8" s="150">
        <f t="shared" si="8"/>
        <v>14.970158505900001</v>
      </c>
      <c r="I8" s="150">
        <v>2</v>
      </c>
      <c r="J8" s="154">
        <f t="shared" si="12"/>
        <v>173540</v>
      </c>
      <c r="K8" s="155"/>
      <c r="L8" s="156">
        <v>4</v>
      </c>
      <c r="M8" s="154">
        <f t="shared" si="9"/>
        <v>314000</v>
      </c>
      <c r="N8" s="155"/>
      <c r="O8" s="156">
        <v>74850.792529500002</v>
      </c>
      <c r="P8" s="184">
        <f t="shared" si="2"/>
        <v>423.69231135022955</v>
      </c>
      <c r="Q8" s="184">
        <v>426</v>
      </c>
      <c r="R8" s="157">
        <f t="shared" si="3"/>
        <v>0.99458289049349657</v>
      </c>
      <c r="S8" s="183" t="str">
        <f t="shared" si="4"/>
        <v>1 - Péssimo</v>
      </c>
      <c r="T8" s="155">
        <f t="shared" si="10"/>
        <v>72848000</v>
      </c>
      <c r="U8" s="182">
        <f t="shared" si="0"/>
        <v>85.2</v>
      </c>
      <c r="V8" s="154">
        <f t="shared" si="13"/>
        <v>8409400.0000000019</v>
      </c>
      <c r="W8" s="153"/>
      <c r="X8" s="156">
        <f t="shared" si="5"/>
        <v>20.50984633091667</v>
      </c>
      <c r="Y8" s="150">
        <v>21</v>
      </c>
      <c r="Z8" s="157">
        <f t="shared" si="11"/>
        <v>0.97665934909127006</v>
      </c>
      <c r="AA8" s="153" t="str">
        <f t="shared" si="6"/>
        <v>1 - Péssimo</v>
      </c>
      <c r="AB8" s="154">
        <f t="shared" si="7"/>
        <v>3150000</v>
      </c>
    </row>
    <row r="9" spans="1:28" s="1" customFormat="1" x14ac:dyDescent="0.25">
      <c r="A9" s="149" t="s">
        <v>67</v>
      </c>
      <c r="B9" s="150">
        <v>210847.30290000001</v>
      </c>
      <c r="C9" s="150">
        <f>B9*dados!$C$13</f>
        <v>74850.792529500002</v>
      </c>
      <c r="D9" s="151">
        <f>C9*dados!$D$5</f>
        <v>47802560.439454816</v>
      </c>
      <c r="E9" s="152">
        <f>C9*dados!$I$5</f>
        <v>131702102.97368005</v>
      </c>
      <c r="F9" s="152">
        <f t="shared" si="1"/>
        <v>-2252397.4657747746</v>
      </c>
      <c r="G9" s="153">
        <v>50</v>
      </c>
      <c r="H9" s="150">
        <f t="shared" si="8"/>
        <v>14.970158505900001</v>
      </c>
      <c r="I9" s="150">
        <v>2</v>
      </c>
      <c r="J9" s="154">
        <f t="shared" si="12"/>
        <v>173540</v>
      </c>
      <c r="K9" s="155"/>
      <c r="L9" s="156">
        <v>4</v>
      </c>
      <c r="M9" s="154">
        <f t="shared" si="9"/>
        <v>314000</v>
      </c>
      <c r="N9" s="155"/>
      <c r="O9" s="156">
        <v>74850.792529500002</v>
      </c>
      <c r="P9" s="184">
        <f t="shared" si="2"/>
        <v>480.96147166354245</v>
      </c>
      <c r="Q9" s="184">
        <v>484</v>
      </c>
      <c r="R9" s="157">
        <f t="shared" si="3"/>
        <v>0.99372204889161664</v>
      </c>
      <c r="S9" s="183" t="str">
        <f t="shared" si="4"/>
        <v>1 - Péssimo</v>
      </c>
      <c r="T9" s="155">
        <f t="shared" si="10"/>
        <v>72848000</v>
      </c>
      <c r="U9" s="182">
        <f t="shared" si="0"/>
        <v>96.8</v>
      </c>
      <c r="V9" s="154">
        <f t="shared" si="13"/>
        <v>9366400</v>
      </c>
      <c r="W9" s="153"/>
      <c r="X9" s="156">
        <f t="shared" si="5"/>
        <v>23.282097906083337</v>
      </c>
      <c r="Y9" s="150">
        <v>23</v>
      </c>
      <c r="Z9" s="157">
        <f>((X9*100)/Y9)/100</f>
        <v>1.0122651263514495</v>
      </c>
      <c r="AA9" s="153" t="str">
        <f t="shared" si="6"/>
        <v>1 - Péssimo</v>
      </c>
      <c r="AB9" s="154">
        <f t="shared" si="7"/>
        <v>3450000</v>
      </c>
    </row>
    <row r="10" spans="1:28" s="1" customFormat="1" x14ac:dyDescent="0.25">
      <c r="A10" s="149" t="s">
        <v>68</v>
      </c>
      <c r="B10" s="150">
        <v>194889.87675</v>
      </c>
      <c r="C10" s="150">
        <f>B10*dados!$C$13</f>
        <v>69185.906246250001</v>
      </c>
      <c r="D10" s="151">
        <f>C10*dados!$D$5</f>
        <v>44184748.793292604</v>
      </c>
      <c r="E10" s="152">
        <f>C10*dados!$I$5</f>
        <v>121734574.08857523</v>
      </c>
      <c r="F10" s="152">
        <f>E10-(D10+J10+M10+T10+V10+AB10)</f>
        <v>-3377614.7047173828</v>
      </c>
      <c r="G10" s="153">
        <v>50</v>
      </c>
      <c r="H10" s="150">
        <f t="shared" si="8"/>
        <v>13.837181249249999</v>
      </c>
      <c r="I10" s="150">
        <v>2</v>
      </c>
      <c r="J10" s="154">
        <f t="shared" si="12"/>
        <v>173540</v>
      </c>
      <c r="K10" s="155"/>
      <c r="L10" s="156">
        <v>4</v>
      </c>
      <c r="M10" s="154">
        <f t="shared" si="9"/>
        <v>314000</v>
      </c>
      <c r="N10" s="155"/>
      <c r="O10" s="156">
        <v>69185.906246250001</v>
      </c>
      <c r="P10" s="184">
        <f t="shared" si="2"/>
        <v>533.89636550153023</v>
      </c>
      <c r="Q10" s="184">
        <v>537</v>
      </c>
      <c r="R10" s="157">
        <f t="shared" si="3"/>
        <v>0.99422041992836174</v>
      </c>
      <c r="S10" s="183" t="str">
        <f t="shared" si="4"/>
        <v>1 - Péssimo</v>
      </c>
      <c r="T10" s="155">
        <f t="shared" si="10"/>
        <v>66568000</v>
      </c>
      <c r="U10" s="182">
        <f t="shared" si="0"/>
        <v>107.4</v>
      </c>
      <c r="V10" s="154">
        <f t="shared" si="13"/>
        <v>10121900.000000002</v>
      </c>
      <c r="W10" s="153"/>
      <c r="X10" s="156">
        <f t="shared" si="5"/>
        <v>25.84453887816667</v>
      </c>
      <c r="Y10" s="150">
        <v>25</v>
      </c>
      <c r="Z10" s="157">
        <f t="shared" si="11"/>
        <v>1.0337815551266667</v>
      </c>
      <c r="AA10" s="153" t="str">
        <f t="shared" si="6"/>
        <v>1 - Péssimo</v>
      </c>
      <c r="AB10" s="154">
        <f t="shared" si="7"/>
        <v>3750000</v>
      </c>
    </row>
    <row r="11" spans="1:28" s="1" customFormat="1" x14ac:dyDescent="0.25">
      <c r="A11" s="149" t="s">
        <v>69</v>
      </c>
      <c r="B11" s="150">
        <v>158004.67859999998</v>
      </c>
      <c r="C11" s="150">
        <f>B11*dados!$C$13</f>
        <v>56091.660902999989</v>
      </c>
      <c r="D11" s="151">
        <f>C11*dados!$D$5</f>
        <v>35822266.135770105</v>
      </c>
      <c r="E11" s="152">
        <f>C11*dados!$I$5</f>
        <v>98694876.173824728</v>
      </c>
      <c r="F11" s="152">
        <f t="shared" si="1"/>
        <v>-6416329.9619453847</v>
      </c>
      <c r="G11" s="153">
        <v>50</v>
      </c>
      <c r="H11" s="150">
        <f t="shared" si="8"/>
        <v>11.218332180599997</v>
      </c>
      <c r="I11" s="150">
        <v>2</v>
      </c>
      <c r="J11" s="154">
        <f t="shared" si="12"/>
        <v>173540</v>
      </c>
      <c r="K11" s="155"/>
      <c r="L11" s="156">
        <v>4</v>
      </c>
      <c r="M11" s="154">
        <f t="shared" si="9"/>
        <v>314000</v>
      </c>
      <c r="N11" s="155"/>
      <c r="O11" s="156">
        <v>56091.660902999989</v>
      </c>
      <c r="P11" s="184">
        <f t="shared" si="2"/>
        <v>576.81270896212698</v>
      </c>
      <c r="Q11" s="184">
        <v>580</v>
      </c>
      <c r="R11" s="157">
        <f t="shared" si="3"/>
        <v>0.99450467062435688</v>
      </c>
      <c r="S11" s="183" t="str">
        <f t="shared" si="4"/>
        <v>1 - Péssimo</v>
      </c>
      <c r="T11" s="155">
        <f t="shared" si="10"/>
        <v>54008000</v>
      </c>
      <c r="U11" s="182">
        <f t="shared" si="0"/>
        <v>116</v>
      </c>
      <c r="V11" s="154">
        <f t="shared" si="13"/>
        <v>10593400</v>
      </c>
      <c r="W11" s="153"/>
      <c r="X11" s="156">
        <f t="shared" si="5"/>
        <v>27.922007800500005</v>
      </c>
      <c r="Y11" s="150">
        <v>28</v>
      </c>
      <c r="Z11" s="157">
        <f t="shared" si="11"/>
        <v>0.99721456430357169</v>
      </c>
      <c r="AA11" s="153" t="str">
        <f t="shared" si="6"/>
        <v>1 - Péssimo</v>
      </c>
      <c r="AB11" s="154">
        <f t="shared" si="7"/>
        <v>4200000</v>
      </c>
    </row>
    <row r="12" spans="1:28" s="1" customFormat="1" x14ac:dyDescent="0.25">
      <c r="A12" s="149" t="s">
        <v>70</v>
      </c>
      <c r="B12" s="150">
        <v>276508.18754999997</v>
      </c>
      <c r="C12" s="150">
        <f>B12*dados!$C$13</f>
        <v>98160.406580249983</v>
      </c>
      <c r="D12" s="151">
        <f>C12*dados!$D$5</f>
        <v>62688965.737597682</v>
      </c>
      <c r="E12" s="152">
        <f>C12*dados!$I$5</f>
        <v>172716033.30419329</v>
      </c>
      <c r="F12" s="152">
        <f t="shared" si="1"/>
        <v>-3349272.433404386</v>
      </c>
      <c r="G12" s="153">
        <v>75</v>
      </c>
      <c r="H12" s="150">
        <f t="shared" si="8"/>
        <v>19.632081316049998</v>
      </c>
      <c r="I12" s="150">
        <v>2</v>
      </c>
      <c r="J12" s="154">
        <f t="shared" si="12"/>
        <v>173540</v>
      </c>
      <c r="K12" s="155"/>
      <c r="L12" s="156">
        <v>4</v>
      </c>
      <c r="M12" s="154">
        <f t="shared" si="9"/>
        <v>314000</v>
      </c>
      <c r="N12" s="155"/>
      <c r="O12" s="156">
        <v>98160.406580249983</v>
      </c>
      <c r="P12" s="184">
        <f t="shared" si="2"/>
        <v>651.91631001817132</v>
      </c>
      <c r="Q12" s="184">
        <v>656</v>
      </c>
      <c r="R12" s="157">
        <f t="shared" si="3"/>
        <v>0.99377486283257821</v>
      </c>
      <c r="S12" s="183" t="str">
        <f t="shared" si="4"/>
        <v>1 - Péssimo</v>
      </c>
      <c r="T12" s="155">
        <f>((Q12-Q11)*1256000)</f>
        <v>95456000</v>
      </c>
      <c r="U12" s="182">
        <f t="shared" si="0"/>
        <v>131.19999999999999</v>
      </c>
      <c r="V12" s="154">
        <f t="shared" si="13"/>
        <v>12632799.999999996</v>
      </c>
      <c r="W12" s="153"/>
      <c r="X12" s="156">
        <f t="shared" si="5"/>
        <v>31.557578414583336</v>
      </c>
      <c r="Y12" s="150">
        <v>32</v>
      </c>
      <c r="Z12" s="157">
        <f t="shared" si="11"/>
        <v>0.98617432545572925</v>
      </c>
      <c r="AA12" s="153" t="str">
        <f t="shared" si="6"/>
        <v>1 - Péssimo</v>
      </c>
      <c r="AB12" s="154">
        <f t="shared" si="7"/>
        <v>4800000</v>
      </c>
    </row>
    <row r="13" spans="1:28" s="1" customFormat="1" x14ac:dyDescent="0.25">
      <c r="A13" s="149" t="s">
        <v>71</v>
      </c>
      <c r="B13" s="150">
        <v>216079.24589999998</v>
      </c>
      <c r="C13" s="150">
        <f>B13*dados!$C$13</f>
        <v>76708.132294499985</v>
      </c>
      <c r="D13" s="151">
        <f>C13*dados!$D$5</f>
        <v>48988728.192294873</v>
      </c>
      <c r="E13" s="152">
        <f>C13*dados!$I$5</f>
        <v>134970145.23109144</v>
      </c>
      <c r="F13" s="152">
        <f t="shared" si="1"/>
        <v>-6904822.9612034261</v>
      </c>
      <c r="G13" s="153">
        <v>75</v>
      </c>
      <c r="H13" s="150">
        <f t="shared" si="8"/>
        <v>15.341626458899997</v>
      </c>
      <c r="I13" s="150">
        <v>2</v>
      </c>
      <c r="J13" s="154">
        <f t="shared" si="12"/>
        <v>173540</v>
      </c>
      <c r="K13" s="155"/>
      <c r="L13" s="156">
        <v>4</v>
      </c>
      <c r="M13" s="154">
        <f>78500*2</f>
        <v>157000</v>
      </c>
      <c r="N13" s="155"/>
      <c r="O13" s="156">
        <v>76708.132294499985</v>
      </c>
      <c r="P13" s="184">
        <f t="shared" si="2"/>
        <v>710.60654130700073</v>
      </c>
      <c r="Q13" s="184">
        <v>715</v>
      </c>
      <c r="R13" s="157">
        <f t="shared" si="3"/>
        <v>0.99385530252727383</v>
      </c>
      <c r="S13" s="183" t="str">
        <f>IF(R13&lt;0.5,"5 - Excelente",IF(AND(R13&gt;=0.5001,R13&lt;=0.6),"4 - Bom",IF(AND(R13&gt;0.6001,R13&lt;=0.75),"3 - Regular",IF(AND(R13&gt;0.7501,R13&lt;=0.85),"2 - Ruim",IF(R13&gt;0.8501,"1 - Péssimo")))))</f>
        <v>1 - Péssimo</v>
      </c>
      <c r="T13" s="155">
        <f>((Q13-Q12)*1256000)</f>
        <v>74104000</v>
      </c>
      <c r="U13" s="182">
        <f>Q13/5</f>
        <v>143</v>
      </c>
      <c r="V13" s="154">
        <f t="shared" si="13"/>
        <v>13201700.000000002</v>
      </c>
      <c r="W13" s="153"/>
      <c r="X13" s="156">
        <f t="shared" si="5"/>
        <v>34.398620351416668</v>
      </c>
      <c r="Y13" s="150">
        <v>35</v>
      </c>
      <c r="Z13" s="157">
        <f t="shared" si="11"/>
        <v>0.98281772432619052</v>
      </c>
      <c r="AA13" s="153" t="str">
        <f t="shared" si="6"/>
        <v>1 - Péssimo</v>
      </c>
      <c r="AB13" s="154">
        <f t="shared" si="7"/>
        <v>5250000</v>
      </c>
    </row>
    <row r="14" spans="1:28" s="1" customFormat="1" ht="15.75" thickBot="1" x14ac:dyDescent="0.3">
      <c r="A14" s="158"/>
      <c r="B14" s="159" t="s">
        <v>72</v>
      </c>
      <c r="C14" s="159"/>
      <c r="D14" s="160">
        <f>SUM(D2:D13)</f>
        <v>593143184.80767679</v>
      </c>
      <c r="E14" s="160">
        <f>SUM(E2:E13)</f>
        <v>1634184530.8185782</v>
      </c>
      <c r="F14" s="160">
        <f>SUM(F2:F13)</f>
        <v>7109366.0109013468</v>
      </c>
      <c r="G14" s="159"/>
      <c r="H14" s="159"/>
      <c r="I14" s="159" t="s">
        <v>73</v>
      </c>
      <c r="J14" s="161">
        <f>SUM(J2:J13)</f>
        <v>3322480</v>
      </c>
      <c r="K14" s="162"/>
      <c r="L14" s="158" t="s">
        <v>73</v>
      </c>
      <c r="M14" s="161">
        <f>SUM(M2:M13)</f>
        <v>4035000</v>
      </c>
      <c r="N14" s="162"/>
      <c r="O14" s="158"/>
      <c r="P14" s="159"/>
      <c r="Q14" s="159"/>
      <c r="R14" s="159"/>
      <c r="S14" s="159" t="s">
        <v>73</v>
      </c>
      <c r="T14" s="163">
        <f>SUM(T2:T13)</f>
        <v>898040000</v>
      </c>
      <c r="U14" s="159" t="s">
        <v>72</v>
      </c>
      <c r="V14" s="161">
        <f>SUM(V2:V13)</f>
        <v>94484500</v>
      </c>
      <c r="W14" s="153"/>
      <c r="X14" s="158"/>
      <c r="Y14" s="159"/>
      <c r="Z14" s="159"/>
      <c r="AA14" s="159" t="s">
        <v>73</v>
      </c>
      <c r="AB14" s="161">
        <f>SUM(AB2:AB13)</f>
        <v>34050000</v>
      </c>
    </row>
    <row r="15" spans="1:28" s="1" customFormat="1" x14ac:dyDescent="0.25">
      <c r="J15" s="181"/>
      <c r="M15" s="181"/>
    </row>
    <row r="16" spans="1:28" x14ac:dyDescent="0.25">
      <c r="M16" s="181"/>
      <c r="O16" s="5"/>
    </row>
    <row r="17" spans="13:13" x14ac:dyDescent="0.25">
      <c r="M17" s="181"/>
    </row>
    <row r="18" spans="13:13" x14ac:dyDescent="0.25">
      <c r="M18" s="181"/>
    </row>
    <row r="19" spans="13:13" x14ac:dyDescent="0.25">
      <c r="M19" s="181"/>
    </row>
    <row r="20" spans="13:13" x14ac:dyDescent="0.25">
      <c r="M20" s="181"/>
    </row>
    <row r="21" spans="13:13" x14ac:dyDescent="0.25">
      <c r="M21" s="181"/>
    </row>
    <row r="22" spans="13:13" x14ac:dyDescent="0.25">
      <c r="M22" s="181"/>
    </row>
    <row r="23" spans="13:13" x14ac:dyDescent="0.25">
      <c r="M23" s="181"/>
    </row>
    <row r="24" spans="13:13" x14ac:dyDescent="0.25">
      <c r="M24" s="181"/>
    </row>
    <row r="25" spans="13:13" x14ac:dyDescent="0.25">
      <c r="M25" s="18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2BFB7-9D65-48A6-A8F9-FCE72EEDBE76}">
  <sheetPr codeName="Planilha6"/>
  <dimension ref="B2:M63"/>
  <sheetViews>
    <sheetView showGridLines="0" topLeftCell="D8" zoomScaleNormal="100" workbookViewId="0">
      <selection activeCell="K19" sqref="K19"/>
    </sheetView>
  </sheetViews>
  <sheetFormatPr defaultColWidth="8.7109375" defaultRowHeight="15" x14ac:dyDescent="0.25"/>
  <cols>
    <col min="1" max="1" width="8.7109375" style="32"/>
    <col min="2" max="2" width="22.42578125" style="32" customWidth="1"/>
    <col min="3" max="3" width="22.140625" style="32" customWidth="1"/>
    <col min="4" max="4" width="18" style="32" customWidth="1"/>
    <col min="5" max="5" width="7.7109375" style="32" customWidth="1"/>
    <col min="6" max="6" width="29" style="32" customWidth="1"/>
    <col min="7" max="7" width="16.85546875" style="32" customWidth="1"/>
    <col min="8" max="8" width="17.140625" style="32" customWidth="1"/>
    <col min="9" max="9" width="21" style="32" customWidth="1"/>
    <col min="10" max="10" width="26.7109375" style="32" customWidth="1"/>
    <col min="11" max="11" width="14.28515625" style="32" customWidth="1"/>
    <col min="12" max="12" width="14" style="32" customWidth="1"/>
    <col min="13" max="13" width="13.7109375" style="32" customWidth="1"/>
    <col min="14" max="14" width="13" style="32" customWidth="1"/>
    <col min="15" max="16384" width="8.7109375" style="32"/>
  </cols>
  <sheetData>
    <row r="2" spans="2:12" x14ac:dyDescent="0.25">
      <c r="B2" s="30" t="s">
        <v>95</v>
      </c>
      <c r="C2" s="31" t="s">
        <v>96</v>
      </c>
    </row>
    <row r="5" spans="2:12" ht="15.75" customHeight="1" x14ac:dyDescent="0.25">
      <c r="B5" s="171" t="s">
        <v>97</v>
      </c>
      <c r="C5" s="171"/>
      <c r="F5" s="33" t="s">
        <v>98</v>
      </c>
      <c r="G5" s="34"/>
      <c r="H5" s="34"/>
      <c r="I5" s="34"/>
      <c r="J5" s="34"/>
      <c r="K5" s="34"/>
      <c r="L5" s="35"/>
    </row>
    <row r="6" spans="2:12" ht="15.75" customHeight="1" x14ac:dyDescent="0.25">
      <c r="B6" s="171"/>
      <c r="C6" s="171"/>
      <c r="F6" s="36"/>
      <c r="G6" s="37"/>
      <c r="H6" s="37"/>
      <c r="I6" s="37"/>
      <c r="J6" s="37"/>
      <c r="K6" s="37"/>
      <c r="L6" s="38"/>
    </row>
    <row r="7" spans="2:12" ht="15" customHeight="1" x14ac:dyDescent="0.25">
      <c r="B7" s="39" t="s">
        <v>99</v>
      </c>
      <c r="C7" s="40" t="s">
        <v>100</v>
      </c>
      <c r="F7" s="172" t="s">
        <v>101</v>
      </c>
      <c r="G7" s="172"/>
      <c r="H7" s="172"/>
      <c r="I7" s="172"/>
      <c r="J7" s="172"/>
      <c r="K7" s="172"/>
      <c r="L7" s="172"/>
    </row>
    <row r="8" spans="2:12" ht="17.25" customHeight="1" x14ac:dyDescent="0.25">
      <c r="B8" s="41" t="s">
        <v>102</v>
      </c>
      <c r="C8" s="42">
        <v>150000000</v>
      </c>
      <c r="F8" s="172"/>
      <c r="G8" s="172"/>
      <c r="H8" s="172"/>
      <c r="I8" s="172"/>
      <c r="J8" s="172"/>
      <c r="K8" s="172"/>
      <c r="L8" s="172"/>
    </row>
    <row r="9" spans="2:12" x14ac:dyDescent="0.25">
      <c r="B9" s="41" t="s">
        <v>103</v>
      </c>
      <c r="C9" s="42">
        <v>100000000</v>
      </c>
      <c r="F9" s="43" t="s">
        <v>104</v>
      </c>
      <c r="G9" s="37"/>
      <c r="H9" s="37"/>
      <c r="I9" s="37"/>
      <c r="J9" s="37"/>
      <c r="K9" s="37"/>
      <c r="L9" s="38"/>
    </row>
    <row r="10" spans="2:12" x14ac:dyDescent="0.25">
      <c r="B10" s="44" t="s">
        <v>105</v>
      </c>
      <c r="C10" s="45">
        <v>80000000</v>
      </c>
      <c r="F10" s="36"/>
      <c r="G10" s="37"/>
      <c r="H10" s="37"/>
      <c r="I10" s="37"/>
      <c r="J10" s="37"/>
      <c r="K10" s="37"/>
      <c r="L10" s="38"/>
    </row>
    <row r="11" spans="2:12" ht="15" customHeight="1" x14ac:dyDescent="0.25">
      <c r="F11" s="173" t="s">
        <v>106</v>
      </c>
      <c r="G11" s="173"/>
      <c r="H11" s="173"/>
      <c r="I11" s="173"/>
      <c r="J11" s="173"/>
      <c r="K11" s="173"/>
      <c r="L11" s="173"/>
    </row>
    <row r="12" spans="2:12" x14ac:dyDescent="0.25">
      <c r="B12" s="174" t="s">
        <v>107</v>
      </c>
      <c r="C12" s="174"/>
      <c r="D12" s="174"/>
      <c r="F12" s="173"/>
      <c r="G12" s="173"/>
      <c r="H12" s="173"/>
      <c r="I12" s="173"/>
      <c r="J12" s="173"/>
      <c r="K12" s="173"/>
      <c r="L12" s="173"/>
    </row>
    <row r="13" spans="2:12" x14ac:dyDescent="0.25">
      <c r="B13" s="46" t="s">
        <v>108</v>
      </c>
      <c r="C13" s="47"/>
      <c r="D13" s="48"/>
      <c r="F13" s="49"/>
      <c r="G13" s="50"/>
      <c r="H13" s="50"/>
      <c r="I13" s="50"/>
      <c r="J13" s="50"/>
      <c r="K13" s="50"/>
      <c r="L13" s="51"/>
    </row>
    <row r="14" spans="2:12" x14ac:dyDescent="0.25">
      <c r="B14" s="52"/>
      <c r="C14" s="47"/>
      <c r="D14" s="48"/>
      <c r="F14" s="53" t="s">
        <v>109</v>
      </c>
      <c r="G14" s="54"/>
      <c r="H14" s="54"/>
      <c r="I14" s="54"/>
      <c r="J14" s="54"/>
      <c r="K14" s="54"/>
      <c r="L14" s="55"/>
    </row>
    <row r="15" spans="2:12" ht="33.75" customHeight="1" x14ac:dyDescent="0.25">
      <c r="B15" s="56" t="s">
        <v>110</v>
      </c>
      <c r="C15" s="57" t="s">
        <v>111</v>
      </c>
      <c r="D15" s="58" t="s">
        <v>112</v>
      </c>
    </row>
    <row r="16" spans="2:12" x14ac:dyDescent="0.25">
      <c r="B16" s="59">
        <v>25</v>
      </c>
      <c r="C16" s="60">
        <v>525000</v>
      </c>
      <c r="D16" s="61">
        <v>14437</v>
      </c>
      <c r="F16" s="175" t="s">
        <v>113</v>
      </c>
      <c r="G16" s="175"/>
      <c r="H16" s="175"/>
      <c r="I16" s="175"/>
    </row>
    <row r="17" spans="2:13" x14ac:dyDescent="0.25">
      <c r="B17" s="59">
        <v>50</v>
      </c>
      <c r="C17" s="60">
        <v>1050000</v>
      </c>
      <c r="D17" s="61">
        <v>36540</v>
      </c>
      <c r="F17" s="62" t="s">
        <v>114</v>
      </c>
      <c r="G17" s="63"/>
      <c r="H17" s="63"/>
      <c r="I17" s="64"/>
    </row>
    <row r="18" spans="2:13" x14ac:dyDescent="0.25">
      <c r="B18" s="59">
        <v>100</v>
      </c>
      <c r="C18" s="60">
        <v>2100000</v>
      </c>
      <c r="D18" s="61">
        <v>95550</v>
      </c>
      <c r="F18" s="65"/>
      <c r="G18" s="66" t="s">
        <v>115</v>
      </c>
      <c r="H18" s="66" t="s">
        <v>116</v>
      </c>
      <c r="I18" s="67" t="s">
        <v>117</v>
      </c>
      <c r="J18" s="32" t="s">
        <v>185</v>
      </c>
      <c r="K18" s="165"/>
    </row>
    <row r="19" spans="2:13" x14ac:dyDescent="0.25">
      <c r="B19" s="59">
        <v>150</v>
      </c>
      <c r="C19" s="60">
        <v>3150000</v>
      </c>
      <c r="D19" s="61">
        <v>200812</v>
      </c>
      <c r="F19" s="68" t="s">
        <v>118</v>
      </c>
      <c r="G19" s="69">
        <v>15000</v>
      </c>
      <c r="H19" s="69">
        <v>80000</v>
      </c>
      <c r="I19" s="70">
        <v>68500</v>
      </c>
      <c r="J19" s="165">
        <f>G35/G39</f>
        <v>960.97934200459065</v>
      </c>
      <c r="K19" s="165">
        <f>G35/G40</f>
        <v>727.27272727272725</v>
      </c>
      <c r="L19" s="165">
        <f>G35/G41</f>
        <v>535.37936913895999</v>
      </c>
    </row>
    <row r="20" spans="2:13" x14ac:dyDescent="0.25">
      <c r="B20" s="59">
        <v>200</v>
      </c>
      <c r="C20" s="60">
        <v>4200000</v>
      </c>
      <c r="D20" s="61">
        <v>311220</v>
      </c>
      <c r="F20" s="68" t="s">
        <v>119</v>
      </c>
      <c r="G20" s="69">
        <v>16000</v>
      </c>
      <c r="H20" s="69">
        <v>90000</v>
      </c>
      <c r="I20" s="70">
        <v>78500</v>
      </c>
      <c r="J20" s="165" t="s">
        <v>184</v>
      </c>
    </row>
    <row r="21" spans="2:13" x14ac:dyDescent="0.25">
      <c r="B21" s="59">
        <v>250</v>
      </c>
      <c r="C21" s="60">
        <v>5250000</v>
      </c>
      <c r="D21" s="61">
        <v>406455</v>
      </c>
      <c r="F21" s="68" t="s">
        <v>120</v>
      </c>
      <c r="G21" s="69">
        <v>19000</v>
      </c>
      <c r="H21" s="69">
        <v>100000</v>
      </c>
      <c r="I21" s="70">
        <v>82500</v>
      </c>
      <c r="J21" s="166">
        <f>150000/27000</f>
        <v>5.5555555555555554</v>
      </c>
    </row>
    <row r="22" spans="2:13" x14ac:dyDescent="0.25">
      <c r="B22" s="59">
        <v>300</v>
      </c>
      <c r="C22" s="60">
        <v>6300000</v>
      </c>
      <c r="D22" s="61">
        <v>517954</v>
      </c>
      <c r="F22" s="65"/>
      <c r="G22" s="63"/>
      <c r="H22" s="63"/>
      <c r="I22" s="64"/>
    </row>
    <row r="23" spans="2:13" x14ac:dyDescent="0.25">
      <c r="B23" s="59">
        <v>350</v>
      </c>
      <c r="C23" s="60">
        <v>7350000</v>
      </c>
      <c r="D23" s="61">
        <v>637245</v>
      </c>
      <c r="F23" s="62" t="s">
        <v>121</v>
      </c>
      <c r="G23" s="71"/>
      <c r="H23" s="72"/>
      <c r="I23" s="64"/>
    </row>
    <row r="24" spans="2:13" x14ac:dyDescent="0.25">
      <c r="B24" s="73">
        <v>400</v>
      </c>
      <c r="C24" s="74">
        <v>8400000</v>
      </c>
      <c r="D24" s="75">
        <v>778680</v>
      </c>
      <c r="F24" s="62" t="s">
        <v>122</v>
      </c>
      <c r="G24" s="71"/>
      <c r="H24" s="66"/>
      <c r="I24" s="76"/>
    </row>
    <row r="25" spans="2:13" x14ac:dyDescent="0.25">
      <c r="F25" s="77" t="s">
        <v>123</v>
      </c>
      <c r="G25" s="78"/>
      <c r="H25" s="79"/>
      <c r="I25" s="80"/>
    </row>
    <row r="27" spans="2:13" x14ac:dyDescent="0.25">
      <c r="B27" s="176" t="s">
        <v>124</v>
      </c>
      <c r="C27" s="176"/>
      <c r="D27" s="176"/>
      <c r="F27" s="81" t="s">
        <v>125</v>
      </c>
      <c r="G27" s="82"/>
      <c r="H27" s="82"/>
      <c r="I27" s="82"/>
      <c r="J27" s="82"/>
      <c r="K27" s="82"/>
      <c r="L27" s="82"/>
      <c r="M27" s="83"/>
    </row>
    <row r="28" spans="2:13" x14ac:dyDescent="0.25">
      <c r="B28" s="84"/>
      <c r="C28" s="85"/>
      <c r="D28" s="86"/>
      <c r="F28" s="87" t="s">
        <v>126</v>
      </c>
      <c r="G28" s="88"/>
      <c r="H28" s="88"/>
      <c r="I28" s="89" t="s">
        <v>127</v>
      </c>
      <c r="J28" s="89" t="s">
        <v>128</v>
      </c>
      <c r="K28" s="88"/>
      <c r="L28" s="88"/>
      <c r="M28" s="90"/>
    </row>
    <row r="29" spans="2:13" x14ac:dyDescent="0.25">
      <c r="B29" s="179" t="s">
        <v>129</v>
      </c>
      <c r="C29" s="179"/>
      <c r="D29" s="91" t="s">
        <v>130</v>
      </c>
      <c r="F29" s="87"/>
      <c r="G29" s="88"/>
      <c r="H29" s="88"/>
      <c r="I29" s="92" t="s">
        <v>131</v>
      </c>
      <c r="J29" s="92" t="s">
        <v>132</v>
      </c>
      <c r="K29" s="88"/>
      <c r="L29" s="88"/>
      <c r="M29" s="90"/>
    </row>
    <row r="30" spans="2:13" x14ac:dyDescent="0.25">
      <c r="B30" s="180" t="s">
        <v>133</v>
      </c>
      <c r="C30" s="180"/>
      <c r="D30" s="93">
        <v>219.9</v>
      </c>
      <c r="F30" s="87" t="s">
        <v>134</v>
      </c>
      <c r="G30" s="94">
        <v>150000</v>
      </c>
      <c r="H30" s="88"/>
      <c r="I30" s="92" t="s">
        <v>135</v>
      </c>
      <c r="J30" s="92" t="s">
        <v>136</v>
      </c>
      <c r="K30" s="88"/>
      <c r="L30" s="88"/>
      <c r="M30" s="90"/>
    </row>
    <row r="31" spans="2:13" ht="15" customHeight="1" x14ac:dyDescent="0.25">
      <c r="B31" s="180" t="s">
        <v>137</v>
      </c>
      <c r="C31" s="180"/>
      <c r="D31" s="93">
        <v>149.9</v>
      </c>
      <c r="F31" s="87" t="s">
        <v>138</v>
      </c>
      <c r="G31" s="88"/>
      <c r="H31" s="88"/>
      <c r="I31" s="92" t="s">
        <v>139</v>
      </c>
      <c r="J31" s="92" t="s">
        <v>140</v>
      </c>
      <c r="K31" s="88"/>
      <c r="L31" s="88"/>
      <c r="M31" s="90"/>
    </row>
    <row r="32" spans="2:13" ht="15" customHeight="1" x14ac:dyDescent="0.25">
      <c r="B32" s="180" t="s">
        <v>141</v>
      </c>
      <c r="C32" s="180"/>
      <c r="D32" s="93">
        <v>99.9</v>
      </c>
      <c r="F32" s="95"/>
      <c r="G32" s="88"/>
      <c r="H32" s="88"/>
      <c r="I32" s="92" t="s">
        <v>142</v>
      </c>
      <c r="J32" s="92" t="s">
        <v>143</v>
      </c>
      <c r="K32" s="88"/>
      <c r="L32" s="169" t="s">
        <v>144</v>
      </c>
      <c r="M32" s="169"/>
    </row>
    <row r="33" spans="2:13" x14ac:dyDescent="0.25">
      <c r="B33" s="170" t="s">
        <v>145</v>
      </c>
      <c r="C33" s="170"/>
      <c r="D33" s="96">
        <v>59.9</v>
      </c>
      <c r="F33" s="95"/>
      <c r="G33" s="88"/>
      <c r="H33" s="88"/>
      <c r="I33" s="92" t="s">
        <v>146</v>
      </c>
      <c r="J33" s="92" t="s">
        <v>147</v>
      </c>
      <c r="K33" s="88"/>
      <c r="L33" s="169"/>
      <c r="M33" s="169"/>
    </row>
    <row r="34" spans="2:13" x14ac:dyDescent="0.25">
      <c r="B34" s="97"/>
      <c r="D34" s="98"/>
      <c r="F34" s="99" t="s">
        <v>148</v>
      </c>
      <c r="G34" s="88"/>
      <c r="H34" s="88"/>
      <c r="I34" s="88"/>
      <c r="J34" s="88"/>
      <c r="K34" s="88"/>
      <c r="L34" s="169"/>
      <c r="M34" s="169"/>
    </row>
    <row r="35" spans="2:13" x14ac:dyDescent="0.25">
      <c r="B35" s="97"/>
      <c r="F35" s="87" t="s">
        <v>149</v>
      </c>
      <c r="G35" s="94">
        <v>1256000</v>
      </c>
      <c r="H35" s="88"/>
      <c r="I35" s="89" t="s">
        <v>150</v>
      </c>
      <c r="J35" s="89" t="s">
        <v>128</v>
      </c>
      <c r="K35" s="88"/>
      <c r="L35" s="100">
        <v>5</v>
      </c>
      <c r="M35" s="90" t="s">
        <v>151</v>
      </c>
    </row>
    <row r="36" spans="2:13" x14ac:dyDescent="0.25">
      <c r="B36" s="101" t="s">
        <v>152</v>
      </c>
      <c r="C36" s="102"/>
      <c r="D36" s="103"/>
      <c r="F36" s="95"/>
      <c r="G36" s="88"/>
      <c r="H36" s="88"/>
      <c r="I36" s="92" t="s">
        <v>131</v>
      </c>
      <c r="J36" s="92" t="s">
        <v>153</v>
      </c>
      <c r="K36" s="88"/>
      <c r="L36" s="100">
        <v>4</v>
      </c>
      <c r="M36" s="90" t="s">
        <v>154</v>
      </c>
    </row>
    <row r="37" spans="2:13" x14ac:dyDescent="0.25">
      <c r="B37" s="104" t="s">
        <v>155</v>
      </c>
      <c r="C37" s="105" t="s">
        <v>156</v>
      </c>
      <c r="D37" s="106"/>
      <c r="F37" s="99" t="s">
        <v>157</v>
      </c>
      <c r="G37" s="107"/>
      <c r="H37" s="88"/>
      <c r="I37" s="92" t="s">
        <v>135</v>
      </c>
      <c r="J37" s="92" t="s">
        <v>158</v>
      </c>
      <c r="K37" s="88"/>
      <c r="L37" s="100">
        <v>3</v>
      </c>
      <c r="M37" s="90" t="s">
        <v>159</v>
      </c>
    </row>
    <row r="38" spans="2:13" x14ac:dyDescent="0.25">
      <c r="B38" s="104" t="s">
        <v>160</v>
      </c>
      <c r="C38" s="105" t="s">
        <v>161</v>
      </c>
      <c r="D38" s="106"/>
      <c r="F38" s="108" t="s">
        <v>99</v>
      </c>
      <c r="G38" s="89" t="s">
        <v>162</v>
      </c>
      <c r="H38" s="88"/>
      <c r="I38" s="92" t="s">
        <v>139</v>
      </c>
      <c r="J38" s="92" t="s">
        <v>163</v>
      </c>
      <c r="K38" s="88"/>
      <c r="L38" s="100">
        <v>2</v>
      </c>
      <c r="M38" s="90" t="s">
        <v>164</v>
      </c>
    </row>
    <row r="39" spans="2:13" x14ac:dyDescent="0.25">
      <c r="B39" s="109"/>
      <c r="C39" s="105"/>
      <c r="D39" s="106"/>
      <c r="F39" s="87" t="s">
        <v>165</v>
      </c>
      <c r="G39" s="110">
        <v>1307</v>
      </c>
      <c r="H39" s="88"/>
      <c r="I39" s="92" t="s">
        <v>142</v>
      </c>
      <c r="J39" s="92" t="s">
        <v>166</v>
      </c>
      <c r="K39" s="88"/>
      <c r="L39" s="100">
        <v>1</v>
      </c>
      <c r="M39" s="90" t="s">
        <v>167</v>
      </c>
    </row>
    <row r="40" spans="2:13" ht="15" customHeight="1" x14ac:dyDescent="0.25">
      <c r="B40" s="109" t="s">
        <v>168</v>
      </c>
      <c r="C40" s="177" t="s">
        <v>169</v>
      </c>
      <c r="D40" s="177"/>
      <c r="F40" s="87" t="s">
        <v>103</v>
      </c>
      <c r="G40" s="110">
        <v>1727</v>
      </c>
      <c r="H40" s="88"/>
      <c r="I40" s="92" t="s">
        <v>146</v>
      </c>
      <c r="J40" s="92" t="s">
        <v>170</v>
      </c>
      <c r="K40" s="88"/>
      <c r="L40" s="88"/>
      <c r="M40" s="90"/>
    </row>
    <row r="41" spans="2:13" x14ac:dyDescent="0.25">
      <c r="B41" s="111"/>
      <c r="C41" s="112" t="s">
        <v>171</v>
      </c>
      <c r="D41" s="113"/>
      <c r="F41" s="87" t="s">
        <v>172</v>
      </c>
      <c r="G41" s="110">
        <v>2346</v>
      </c>
      <c r="H41" s="88"/>
      <c r="I41" s="88"/>
      <c r="J41" s="88"/>
      <c r="K41" s="88"/>
      <c r="L41" s="88"/>
      <c r="M41" s="90"/>
    </row>
    <row r="42" spans="2:13" x14ac:dyDescent="0.25">
      <c r="F42" s="114"/>
      <c r="G42" s="115"/>
      <c r="H42" s="115"/>
      <c r="I42" s="115"/>
      <c r="J42" s="115"/>
      <c r="K42" s="115"/>
      <c r="L42" s="115"/>
      <c r="M42" s="116"/>
    </row>
    <row r="49" spans="2:8" x14ac:dyDescent="0.25">
      <c r="B49" s="178" t="s">
        <v>173</v>
      </c>
      <c r="C49" s="178"/>
      <c r="D49" s="178"/>
    </row>
    <row r="50" spans="2:8" x14ac:dyDescent="0.25">
      <c r="B50" s="117" t="s">
        <v>174</v>
      </c>
      <c r="C50" s="118" t="s">
        <v>175</v>
      </c>
      <c r="D50" s="119" t="s">
        <v>176</v>
      </c>
    </row>
    <row r="51" spans="2:8" x14ac:dyDescent="0.25">
      <c r="B51" s="120" t="s">
        <v>177</v>
      </c>
      <c r="C51" s="121">
        <v>796.02</v>
      </c>
      <c r="D51" s="122">
        <v>491.26</v>
      </c>
      <c r="F51" s="167">
        <f>0.3*D51</f>
        <v>147.37799999999999</v>
      </c>
    </row>
    <row r="52" spans="2:8" x14ac:dyDescent="0.25">
      <c r="B52" s="120" t="s">
        <v>178</v>
      </c>
      <c r="C52" s="121">
        <v>7459.33</v>
      </c>
      <c r="D52" s="122">
        <v>2789.26</v>
      </c>
      <c r="F52" s="167">
        <f>0.3*D52</f>
        <v>836.77800000000002</v>
      </c>
      <c r="G52" s="165">
        <f>C52-D52-F52-J19-J21</f>
        <v>2866.757102439853</v>
      </c>
    </row>
    <row r="53" spans="2:8" x14ac:dyDescent="0.25">
      <c r="B53" s="120" t="s">
        <v>179</v>
      </c>
      <c r="C53" s="121">
        <v>1517.5</v>
      </c>
      <c r="D53" s="122">
        <v>891</v>
      </c>
      <c r="F53" s="167">
        <f>0.3*D53</f>
        <v>267.3</v>
      </c>
    </row>
    <row r="54" spans="2:8" x14ac:dyDescent="0.25">
      <c r="B54" s="123" t="s">
        <v>180</v>
      </c>
      <c r="C54" s="124">
        <v>11846.67</v>
      </c>
      <c r="D54" s="125">
        <v>6159.96</v>
      </c>
      <c r="F54" s="167">
        <f>0.4*D54</f>
        <v>2463.9840000000004</v>
      </c>
      <c r="G54" s="167">
        <f>C54-F54-J19-J21-D54</f>
        <v>2256.1911024398551</v>
      </c>
    </row>
    <row r="55" spans="2:8" x14ac:dyDescent="0.25">
      <c r="D55" s="126"/>
    </row>
    <row r="57" spans="2:8" x14ac:dyDescent="0.25">
      <c r="D57" s="126"/>
      <c r="F57" s="126"/>
      <c r="H57" s="126"/>
    </row>
    <row r="58" spans="2:8" x14ac:dyDescent="0.25">
      <c r="D58" s="126"/>
    </row>
    <row r="59" spans="2:8" x14ac:dyDescent="0.25">
      <c r="F59" s="126"/>
      <c r="H59" s="126"/>
    </row>
    <row r="60" spans="2:8" x14ac:dyDescent="0.25">
      <c r="D60" s="126"/>
    </row>
    <row r="61" spans="2:8" x14ac:dyDescent="0.25">
      <c r="F61" s="126"/>
      <c r="H61" s="126"/>
    </row>
    <row r="62" spans="2:8" x14ac:dyDescent="0.25">
      <c r="D62" s="126"/>
    </row>
    <row r="63" spans="2:8" x14ac:dyDescent="0.25">
      <c r="F63" s="126"/>
      <c r="H63" s="126"/>
    </row>
  </sheetData>
  <mergeCells count="14">
    <mergeCell ref="C40:D40"/>
    <mergeCell ref="B49:D49"/>
    <mergeCell ref="B29:C29"/>
    <mergeCell ref="B30:C30"/>
    <mergeCell ref="B31:C31"/>
    <mergeCell ref="B32:C32"/>
    <mergeCell ref="L32:M34"/>
    <mergeCell ref="B33:C33"/>
    <mergeCell ref="B5:C6"/>
    <mergeCell ref="F7:L8"/>
    <mergeCell ref="F11:L12"/>
    <mergeCell ref="B12:D12"/>
    <mergeCell ref="F16:I16"/>
    <mergeCell ref="B27:D27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8456-E697-430B-9E2A-085908D5545E}">
  <sheetPr codeName="Planilha4"/>
  <dimension ref="A1:M15"/>
  <sheetViews>
    <sheetView topLeftCell="D1" workbookViewId="0">
      <selection activeCell="L2" sqref="L2:L13"/>
    </sheetView>
  </sheetViews>
  <sheetFormatPr defaultRowHeight="15" x14ac:dyDescent="0.25"/>
  <cols>
    <col min="2" max="2" width="23.140625" customWidth="1"/>
    <col min="3" max="3" width="17.85546875" bestFit="1" customWidth="1"/>
    <col min="4" max="4" width="15.140625" customWidth="1"/>
    <col min="5" max="5" width="11.5703125" customWidth="1"/>
    <col min="8" max="8" width="24.7109375" bestFit="1" customWidth="1"/>
    <col min="9" max="9" width="20.28515625" bestFit="1" customWidth="1"/>
    <col min="10" max="10" width="18.42578125" customWidth="1"/>
    <col min="11" max="11" width="20" customWidth="1"/>
    <col min="12" max="12" width="17.85546875" customWidth="1"/>
    <col min="13" max="13" width="24.7109375" customWidth="1"/>
  </cols>
  <sheetData>
    <row r="1" spans="1:13" ht="60" x14ac:dyDescent="0.25">
      <c r="A1" s="1" t="s">
        <v>86</v>
      </c>
      <c r="B1" s="4" t="s">
        <v>87</v>
      </c>
      <c r="C1" s="8" t="s">
        <v>88</v>
      </c>
      <c r="D1" s="8" t="s">
        <v>89</v>
      </c>
      <c r="E1" s="8" t="s">
        <v>72</v>
      </c>
      <c r="F1" s="8" t="s">
        <v>90</v>
      </c>
      <c r="G1" s="8"/>
      <c r="H1" s="8" t="s">
        <v>86</v>
      </c>
      <c r="I1" s="4" t="s">
        <v>91</v>
      </c>
      <c r="J1" s="4" t="s">
        <v>17</v>
      </c>
      <c r="K1" s="4" t="s">
        <v>92</v>
      </c>
      <c r="L1" s="4" t="s">
        <v>93</v>
      </c>
      <c r="M1" s="4" t="s">
        <v>94</v>
      </c>
    </row>
    <row r="2" spans="1:13" x14ac:dyDescent="0.25">
      <c r="A2" t="s">
        <v>60</v>
      </c>
      <c r="B2">
        <v>802000</v>
      </c>
      <c r="C2" s="9">
        <v>32299180</v>
      </c>
      <c r="D2" s="10">
        <v>0.18</v>
      </c>
      <c r="E2" s="9">
        <f>C2*D2</f>
        <v>5813852.3999999994</v>
      </c>
      <c r="F2" s="9">
        <v>581327</v>
      </c>
      <c r="H2" t="s">
        <v>60</v>
      </c>
      <c r="I2" s="9">
        <f>0.937*B2</f>
        <v>751474</v>
      </c>
      <c r="J2" s="9">
        <f>0.937*F2</f>
        <v>544703.39899999998</v>
      </c>
      <c r="K2" s="7">
        <f>J2*45%</f>
        <v>245116.52955000001</v>
      </c>
      <c r="L2" s="7">
        <f>J2*30%</f>
        <v>163411.01969999998</v>
      </c>
      <c r="M2" s="9">
        <f>J2*25%</f>
        <v>136175.84974999999</v>
      </c>
    </row>
    <row r="3" spans="1:13" x14ac:dyDescent="0.25">
      <c r="A3" t="s">
        <v>61</v>
      </c>
      <c r="B3">
        <v>802760</v>
      </c>
      <c r="E3">
        <v>5383196.6666666698</v>
      </c>
      <c r="H3" t="s">
        <v>61</v>
      </c>
      <c r="I3" s="9">
        <f>0.806*B3</f>
        <v>647024.56000000006</v>
      </c>
      <c r="J3" s="9">
        <f>0.806*$F$2</f>
        <v>468549.56200000003</v>
      </c>
      <c r="K3" s="7">
        <f t="shared" ref="K3:K13" si="0">J3*45%</f>
        <v>210847.30290000001</v>
      </c>
      <c r="L3" s="7">
        <f t="shared" ref="L3:L13" si="1">J3*30%</f>
        <v>140564.86860000002</v>
      </c>
      <c r="M3" s="9">
        <f t="shared" ref="M3:M13" si="2">J3*25%</f>
        <v>117137.39050000001</v>
      </c>
    </row>
    <row r="4" spans="1:13" x14ac:dyDescent="0.25">
      <c r="A4" t="s">
        <v>62</v>
      </c>
      <c r="B4">
        <v>815499</v>
      </c>
      <c r="E4">
        <f>(E3*100)/C2</f>
        <v>16.666666666666675</v>
      </c>
      <c r="H4" t="s">
        <v>62</v>
      </c>
      <c r="I4" s="9">
        <f>0.856*B4</f>
        <v>698067.14399999997</v>
      </c>
      <c r="J4" s="9">
        <f>0.856*$F$2</f>
        <v>497615.91200000001</v>
      </c>
      <c r="K4" s="7">
        <f t="shared" si="0"/>
        <v>223927.16040000002</v>
      </c>
      <c r="L4" s="7">
        <f t="shared" si="1"/>
        <v>149284.77359999999</v>
      </c>
      <c r="M4" s="9">
        <f t="shared" si="2"/>
        <v>124403.978</v>
      </c>
    </row>
    <row r="5" spans="1:13" x14ac:dyDescent="0.25">
      <c r="A5" t="s">
        <v>63</v>
      </c>
      <c r="B5">
        <v>856474</v>
      </c>
      <c r="H5" t="s">
        <v>63</v>
      </c>
      <c r="I5" s="9">
        <f>0.806*B5</f>
        <v>690318.04399999999</v>
      </c>
      <c r="J5" s="9">
        <f>0.806*$F$2</f>
        <v>468549.56200000003</v>
      </c>
      <c r="K5" s="7">
        <f t="shared" si="0"/>
        <v>210847.30290000001</v>
      </c>
      <c r="L5" s="7">
        <f t="shared" si="1"/>
        <v>140564.86860000002</v>
      </c>
      <c r="M5" s="9">
        <f t="shared" si="2"/>
        <v>117137.39050000001</v>
      </c>
    </row>
    <row r="6" spans="1:13" x14ac:dyDescent="0.25">
      <c r="A6" t="s">
        <v>64</v>
      </c>
      <c r="B6">
        <v>808321</v>
      </c>
      <c r="H6" t="s">
        <v>64</v>
      </c>
      <c r="I6" s="9">
        <f>0.906*B6</f>
        <v>732338.826</v>
      </c>
      <c r="J6" s="9">
        <f>0.906*$F$2</f>
        <v>526682.26199999999</v>
      </c>
      <c r="K6" s="7">
        <f t="shared" si="0"/>
        <v>237007.01790000001</v>
      </c>
      <c r="L6" s="7">
        <f t="shared" si="1"/>
        <v>158004.67859999998</v>
      </c>
      <c r="M6" s="9">
        <f t="shared" si="2"/>
        <v>131670.5655</v>
      </c>
    </row>
    <row r="7" spans="1:13" x14ac:dyDescent="0.25">
      <c r="A7" t="s">
        <v>65</v>
      </c>
      <c r="B7">
        <v>806454</v>
      </c>
      <c r="H7" t="s">
        <v>65</v>
      </c>
      <c r="I7" s="9">
        <f>0.846*B7</f>
        <v>682260.08400000003</v>
      </c>
      <c r="J7" s="9">
        <f>0.846*F2</f>
        <v>491802.64199999999</v>
      </c>
      <c r="K7" s="7">
        <f t="shared" si="0"/>
        <v>221311.18890000001</v>
      </c>
      <c r="L7" s="7">
        <f t="shared" si="1"/>
        <v>147540.79259999999</v>
      </c>
      <c r="M7" s="9">
        <f t="shared" si="2"/>
        <v>122950.6605</v>
      </c>
    </row>
    <row r="8" spans="1:13" x14ac:dyDescent="0.25">
      <c r="A8" t="s">
        <v>66</v>
      </c>
      <c r="B8">
        <v>807598</v>
      </c>
      <c r="H8" t="s">
        <v>66</v>
      </c>
      <c r="I8" s="9">
        <f>0.806*B8</f>
        <v>650923.98800000001</v>
      </c>
      <c r="J8" s="9">
        <f>0.806*F2</f>
        <v>468549.56200000003</v>
      </c>
      <c r="K8" s="7">
        <f t="shared" si="0"/>
        <v>210847.30290000001</v>
      </c>
      <c r="L8" s="7">
        <f t="shared" si="1"/>
        <v>140564.86860000002</v>
      </c>
      <c r="M8" s="9">
        <f t="shared" si="2"/>
        <v>117137.39050000001</v>
      </c>
    </row>
    <row r="9" spans="1:13" x14ac:dyDescent="0.25">
      <c r="A9" t="s">
        <v>67</v>
      </c>
      <c r="B9">
        <v>808725</v>
      </c>
      <c r="H9" t="s">
        <v>67</v>
      </c>
      <c r="I9" s="9">
        <f>0.806*B9</f>
        <v>651832.35000000009</v>
      </c>
      <c r="J9" s="9">
        <f>0.806*F2</f>
        <v>468549.56200000003</v>
      </c>
      <c r="K9" s="7">
        <f t="shared" si="0"/>
        <v>210847.30290000001</v>
      </c>
      <c r="L9" s="7">
        <f t="shared" si="1"/>
        <v>140564.86860000002</v>
      </c>
      <c r="M9" s="9">
        <f t="shared" si="2"/>
        <v>117137.39050000001</v>
      </c>
    </row>
    <row r="10" spans="1:13" x14ac:dyDescent="0.25">
      <c r="A10" t="s">
        <v>68</v>
      </c>
      <c r="B10">
        <v>809603</v>
      </c>
      <c r="H10" t="s">
        <v>68</v>
      </c>
      <c r="I10" s="9">
        <f>0.745*B10</f>
        <v>603154.23499999999</v>
      </c>
      <c r="J10" s="9">
        <f>0.745*F2</f>
        <v>433088.61499999999</v>
      </c>
      <c r="K10" s="7">
        <f t="shared" si="0"/>
        <v>194889.87675</v>
      </c>
      <c r="L10" s="7">
        <f t="shared" si="1"/>
        <v>129926.5845</v>
      </c>
      <c r="M10" s="9">
        <f t="shared" si="2"/>
        <v>108272.15375</v>
      </c>
    </row>
    <row r="11" spans="1:13" x14ac:dyDescent="0.25">
      <c r="A11" t="s">
        <v>69</v>
      </c>
      <c r="B11">
        <v>809456</v>
      </c>
      <c r="H11" t="s">
        <v>69</v>
      </c>
      <c r="I11" s="9">
        <f>0.604*B11</f>
        <v>488911.424</v>
      </c>
      <c r="J11" s="9">
        <f>0.604*F2</f>
        <v>351121.50799999997</v>
      </c>
      <c r="K11" s="7">
        <f t="shared" si="0"/>
        <v>158004.67859999998</v>
      </c>
      <c r="L11" s="7">
        <f t="shared" si="1"/>
        <v>105336.45239999999</v>
      </c>
      <c r="M11" s="9">
        <f t="shared" si="2"/>
        <v>87780.376999999993</v>
      </c>
    </row>
    <row r="12" spans="1:13" x14ac:dyDescent="0.25">
      <c r="A12" t="s">
        <v>70</v>
      </c>
      <c r="B12">
        <v>809347</v>
      </c>
      <c r="H12" t="s">
        <v>70</v>
      </c>
      <c r="I12" s="9">
        <f>1.057*B12</f>
        <v>855479.77899999998</v>
      </c>
      <c r="J12" s="9">
        <f>1.057*F2</f>
        <v>614462.63899999997</v>
      </c>
      <c r="K12" s="7">
        <f t="shared" si="0"/>
        <v>276508.18754999997</v>
      </c>
      <c r="L12" s="7">
        <f t="shared" si="1"/>
        <v>184338.79169999997</v>
      </c>
      <c r="M12" s="9">
        <f t="shared" si="2"/>
        <v>153615.65974999999</v>
      </c>
    </row>
    <row r="13" spans="1:13" x14ac:dyDescent="0.25">
      <c r="A13" t="s">
        <v>71</v>
      </c>
      <c r="B13">
        <v>809306</v>
      </c>
      <c r="H13" t="s">
        <v>71</v>
      </c>
      <c r="I13" s="9">
        <f>0.826*B13</f>
        <v>668486.75599999994</v>
      </c>
      <c r="J13" s="9">
        <f>0.826*F2</f>
        <v>480176.10199999996</v>
      </c>
      <c r="K13" s="7">
        <f t="shared" si="0"/>
        <v>216079.24589999998</v>
      </c>
      <c r="L13" s="7">
        <f t="shared" si="1"/>
        <v>144052.83059999999</v>
      </c>
      <c r="M13" s="9">
        <f t="shared" si="2"/>
        <v>120044.02549999999</v>
      </c>
    </row>
    <row r="14" spans="1:13" x14ac:dyDescent="0.25">
      <c r="H14" t="s">
        <v>72</v>
      </c>
      <c r="I14" s="9">
        <f>SUM(I2:I13)</f>
        <v>8120271.1899999995</v>
      </c>
      <c r="J14" s="9">
        <f>SUM(J2:J13)</f>
        <v>5813851.3269999996</v>
      </c>
    </row>
    <row r="15" spans="1:13" x14ac:dyDescent="0.25">
      <c r="I15" s="9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CBF3-E46F-41A4-A0DA-D8D123FCBC1B}">
  <sheetPr codeName="Planilha5"/>
  <dimension ref="O20:T23"/>
  <sheetViews>
    <sheetView zoomScale="68" workbookViewId="0">
      <selection activeCell="P33" sqref="P33"/>
    </sheetView>
  </sheetViews>
  <sheetFormatPr defaultRowHeight="15" x14ac:dyDescent="0.25"/>
  <cols>
    <col min="16" max="16" width="14.42578125" bestFit="1" customWidth="1"/>
    <col min="19" max="19" width="10.7109375" bestFit="1" customWidth="1"/>
  </cols>
  <sheetData>
    <row r="20" spans="15:20" ht="45" x14ac:dyDescent="0.25">
      <c r="O20" s="1" t="s">
        <v>30</v>
      </c>
      <c r="P20" s="1" t="s">
        <v>31</v>
      </c>
      <c r="Q20" s="1" t="s">
        <v>32</v>
      </c>
      <c r="R20" s="1" t="s">
        <v>181</v>
      </c>
      <c r="S20" s="4" t="s">
        <v>182</v>
      </c>
      <c r="T20" s="4" t="s">
        <v>183</v>
      </c>
    </row>
    <row r="21" spans="15:20" x14ac:dyDescent="0.25">
      <c r="O21" s="1">
        <v>311969</v>
      </c>
      <c r="P21" s="1" t="s">
        <v>35</v>
      </c>
      <c r="Q21" s="6">
        <v>0.23799999999999999</v>
      </c>
      <c r="R21" s="5">
        <f>Q21*O21</f>
        <v>74248.622000000003</v>
      </c>
      <c r="S21" s="7">
        <f>0.5*R21</f>
        <v>37124.311000000002</v>
      </c>
      <c r="T21" s="7">
        <f>0.5*R21</f>
        <v>37124.311000000002</v>
      </c>
    </row>
    <row r="22" spans="15:20" x14ac:dyDescent="0.25">
      <c r="O22" s="1"/>
      <c r="P22" s="1" t="s">
        <v>36</v>
      </c>
      <c r="Q22" s="6">
        <v>0.36699999999999999</v>
      </c>
      <c r="R22" s="5">
        <f>Q22*O21</f>
        <v>114492.62299999999</v>
      </c>
      <c r="S22" s="7"/>
    </row>
    <row r="23" spans="15:20" x14ac:dyDescent="0.25">
      <c r="O23" s="1"/>
      <c r="P23" s="1" t="s">
        <v>37</v>
      </c>
      <c r="Q23" s="6">
        <v>0.39500000000000002</v>
      </c>
      <c r="R23" s="5">
        <f>Q23*O21</f>
        <v>123227.755</v>
      </c>
      <c r="S23" s="7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Demanda</vt:lpstr>
      <vt:lpstr>Gerenciamento Geral</vt:lpstr>
      <vt:lpstr>Custos Armazem GERAL</vt:lpstr>
      <vt:lpstr>Custos de processo Sul_Sudeste</vt:lpstr>
      <vt:lpstr>Custos de processo Nordeste</vt:lpstr>
      <vt:lpstr>dados</vt:lpstr>
      <vt:lpstr>Custos Iphone</vt:lpstr>
      <vt:lpstr>Custos S24</vt:lpstr>
      <vt:lpstr>Custos A54</vt:lpstr>
      <vt:lpstr>Custos A34</vt:lpstr>
      <vt:lpstr>Dados finais professor</vt:lpstr>
      <vt:lpstr>Previsão de Vendas</vt:lpstr>
      <vt:lpstr>Dados do E-commerce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LeonardoCV</dc:creator>
  <cp:keywords/>
  <dc:description/>
  <cp:lastModifiedBy>Leonardo Souza</cp:lastModifiedBy>
  <cp:revision/>
  <dcterms:created xsi:type="dcterms:W3CDTF">2024-10-18T10:44:04Z</dcterms:created>
  <dcterms:modified xsi:type="dcterms:W3CDTF">2024-11-10T20:42:41Z</dcterms:modified>
  <cp:category/>
  <cp:contentStatus/>
</cp:coreProperties>
</file>